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C033A296501ED37/Documents/"/>
    </mc:Choice>
  </mc:AlternateContent>
  <xr:revisionPtr revIDLastSave="199" documentId="8_{D4757B06-A363-472F-B606-4E2FCC091622}" xr6:coauthVersionLast="47" xr6:coauthVersionMax="47" xr10:uidLastSave="{F92A9EEB-1FEB-4050-81F9-E262687D71A9}"/>
  <bookViews>
    <workbookView minimized="1" xWindow="2892" yWindow="2892" windowWidth="17280" windowHeight="8880" activeTab="4" xr2:uid="{00000000-000D-0000-FFFF-FFFF00000000}"/>
  </bookViews>
  <sheets>
    <sheet name="Project Instructions" sheetId="1" r:id="rId1"/>
    <sheet name="Students Grade" sheetId="2" r:id="rId2"/>
    <sheet name="Sales Data" sheetId="3" r:id="rId3"/>
    <sheet name="Vlookup Ref" sheetId="5" r:id="rId4"/>
    <sheet name="Employee Data"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4" l="1"/>
  <c r="H4" i="4"/>
  <c r="H5" i="4"/>
  <c r="H6" i="4"/>
  <c r="H7" i="4"/>
  <c r="H8" i="4"/>
  <c r="H9" i="4"/>
  <c r="H10" i="4"/>
  <c r="H11" i="4"/>
  <c r="H12" i="4"/>
  <c r="H13" i="4"/>
  <c r="H14" i="4"/>
  <c r="H15" i="4"/>
  <c r="H16" i="4"/>
  <c r="H17" i="4"/>
  <c r="H18" i="4"/>
  <c r="H19" i="4"/>
  <c r="H20" i="4"/>
  <c r="H21" i="4"/>
  <c r="H2" i="4"/>
  <c r="H25" i="4"/>
  <c r="H26" i="4"/>
  <c r="H27" i="4"/>
  <c r="H24" i="4"/>
  <c r="E25" i="4"/>
  <c r="E26" i="4"/>
  <c r="E27" i="4"/>
  <c r="E24" i="4"/>
  <c r="G3" i="4"/>
  <c r="G4" i="4"/>
  <c r="G5" i="4"/>
  <c r="G6" i="4"/>
  <c r="G7" i="4"/>
  <c r="G8" i="4"/>
  <c r="G9" i="4"/>
  <c r="G10" i="4"/>
  <c r="G11" i="4"/>
  <c r="G12" i="4"/>
  <c r="G13" i="4"/>
  <c r="G14" i="4"/>
  <c r="G15" i="4"/>
  <c r="G16" i="4"/>
  <c r="G17" i="4"/>
  <c r="G18" i="4"/>
  <c r="G19" i="4"/>
  <c r="G20" i="4"/>
  <c r="G21" i="4"/>
  <c r="G2" i="4"/>
  <c r="B26" i="4"/>
  <c r="B27" i="4"/>
  <c r="B25" i="4"/>
  <c r="B12" i="5"/>
  <c r="B11" i="5"/>
  <c r="E11" i="5"/>
  <c r="N3" i="3"/>
  <c r="N4" i="3"/>
  <c r="N5" i="3"/>
  <c r="N6" i="3"/>
  <c r="N7" i="3"/>
  <c r="N8" i="3"/>
  <c r="N9" i="3"/>
  <c r="N10" i="3"/>
  <c r="N11" i="3"/>
  <c r="N12" i="3"/>
  <c r="N13" i="3"/>
  <c r="N14" i="3"/>
  <c r="N15" i="3"/>
  <c r="N16" i="3"/>
  <c r="N17" i="3"/>
  <c r="N18" i="3"/>
  <c r="N19" i="3"/>
  <c r="N20" i="3"/>
  <c r="N21" i="3"/>
  <c r="M3" i="3"/>
  <c r="M4" i="3"/>
  <c r="M5" i="3"/>
  <c r="M6" i="3"/>
  <c r="M7" i="3"/>
  <c r="M8" i="3"/>
  <c r="M9" i="3"/>
  <c r="M10" i="3"/>
  <c r="M11" i="3"/>
  <c r="M12" i="3"/>
  <c r="M13" i="3"/>
  <c r="M14" i="3"/>
  <c r="M15" i="3"/>
  <c r="M16" i="3"/>
  <c r="M17" i="3"/>
  <c r="M18" i="3"/>
  <c r="M19" i="3"/>
  <c r="M20" i="3"/>
  <c r="M21" i="3"/>
  <c r="L3" i="3"/>
  <c r="L4" i="3"/>
  <c r="L5" i="3"/>
  <c r="L6" i="3"/>
  <c r="L7" i="3"/>
  <c r="L8" i="3"/>
  <c r="L9" i="3"/>
  <c r="L10" i="3"/>
  <c r="L11" i="3"/>
  <c r="L12" i="3"/>
  <c r="L13" i="3"/>
  <c r="L14" i="3"/>
  <c r="L15" i="3"/>
  <c r="L16" i="3"/>
  <c r="L17" i="3"/>
  <c r="L18" i="3"/>
  <c r="L19" i="3"/>
  <c r="L20" i="3"/>
  <c r="L21" i="3"/>
  <c r="N2" i="3"/>
  <c r="M2" i="3"/>
  <c r="L2" i="3"/>
  <c r="H3" i="3"/>
  <c r="H4" i="3"/>
  <c r="H5" i="3"/>
  <c r="H6" i="3"/>
  <c r="H7" i="3"/>
  <c r="H8" i="3"/>
  <c r="H9" i="3"/>
  <c r="H10" i="3"/>
  <c r="H11" i="3"/>
  <c r="H12" i="3"/>
  <c r="H13" i="3"/>
  <c r="H14" i="3"/>
  <c r="H15" i="3"/>
  <c r="H16" i="3"/>
  <c r="H17" i="3"/>
  <c r="H18" i="3"/>
  <c r="H19" i="3"/>
  <c r="H20" i="3"/>
  <c r="H21" i="3"/>
  <c r="H2" i="3"/>
  <c r="I3" i="3"/>
  <c r="I4" i="3"/>
  <c r="I5" i="3"/>
  <c r="I6" i="3"/>
  <c r="I7" i="3"/>
  <c r="I8" i="3"/>
  <c r="I9" i="3"/>
  <c r="I10" i="3"/>
  <c r="I11" i="3"/>
  <c r="I12" i="3"/>
  <c r="I13" i="3"/>
  <c r="I14" i="3"/>
  <c r="I15" i="3"/>
  <c r="I16" i="3"/>
  <c r="I17" i="3"/>
  <c r="I18" i="3"/>
  <c r="I19" i="3"/>
  <c r="I20" i="3"/>
  <c r="I21" i="3"/>
  <c r="I2" i="3"/>
  <c r="L25" i="3"/>
  <c r="E29" i="3"/>
  <c r="E12" i="5"/>
  <c r="J25" i="3"/>
  <c r="H27" i="3"/>
  <c r="H26" i="3"/>
  <c r="H25" i="3"/>
  <c r="J3" i="3"/>
  <c r="J4" i="3"/>
  <c r="J5" i="3"/>
  <c r="J6" i="3"/>
  <c r="J7" i="3"/>
  <c r="J8" i="3"/>
  <c r="J9" i="3"/>
  <c r="J10" i="3"/>
  <c r="J11" i="3"/>
  <c r="J12" i="3"/>
  <c r="J13" i="3"/>
  <c r="J14" i="3"/>
  <c r="J15" i="3"/>
  <c r="J16" i="3"/>
  <c r="J17" i="3"/>
  <c r="J18" i="3"/>
  <c r="J19" i="3"/>
  <c r="J20" i="3"/>
  <c r="J21" i="3"/>
  <c r="J2" i="3"/>
  <c r="E28" i="3"/>
  <c r="E26" i="3"/>
  <c r="E27" i="3"/>
  <c r="E25" i="3"/>
  <c r="B25" i="3"/>
  <c r="B28" i="3"/>
  <c r="B27" i="3"/>
  <c r="B26" i="3"/>
  <c r="D25" i="2"/>
  <c r="K3" i="2"/>
  <c r="K4" i="2"/>
  <c r="K5" i="2"/>
  <c r="K6" i="2"/>
  <c r="K7" i="2"/>
  <c r="K8" i="2"/>
  <c r="K9" i="2"/>
  <c r="K10" i="2"/>
  <c r="K11" i="2"/>
  <c r="K12" i="2"/>
  <c r="K13" i="2"/>
  <c r="K14" i="2"/>
  <c r="K15" i="2"/>
  <c r="K16" i="2"/>
  <c r="K17" i="2"/>
  <c r="K18" i="2"/>
  <c r="K19" i="2"/>
  <c r="K20" i="2"/>
  <c r="K21" i="2"/>
  <c r="K2" i="2"/>
  <c r="H3" i="2"/>
  <c r="J3" i="2" s="1"/>
  <c r="I3" i="2" s="1"/>
  <c r="H4" i="2"/>
  <c r="J4" i="2" s="1"/>
  <c r="I4" i="2" s="1"/>
  <c r="H5" i="2"/>
  <c r="J5" i="2" s="1"/>
  <c r="I5" i="2" s="1"/>
  <c r="H6" i="2"/>
  <c r="J6" i="2" s="1"/>
  <c r="I6" i="2" s="1"/>
  <c r="H7" i="2"/>
  <c r="J7" i="2" s="1"/>
  <c r="I7" i="2" s="1"/>
  <c r="H8" i="2"/>
  <c r="J8" i="2" s="1"/>
  <c r="I8" i="2" s="1"/>
  <c r="H9" i="2"/>
  <c r="J9" i="2" s="1"/>
  <c r="I9" i="2" s="1"/>
  <c r="H10" i="2"/>
  <c r="J10" i="2" s="1"/>
  <c r="I10" i="2" s="1"/>
  <c r="H11" i="2"/>
  <c r="J11" i="2" s="1"/>
  <c r="I11" i="2" s="1"/>
  <c r="H12" i="2"/>
  <c r="J12" i="2" s="1"/>
  <c r="I12" i="2" s="1"/>
  <c r="H13" i="2"/>
  <c r="J13" i="2" s="1"/>
  <c r="I13" i="2" s="1"/>
  <c r="H14" i="2"/>
  <c r="J14" i="2" s="1"/>
  <c r="I14" i="2" s="1"/>
  <c r="H15" i="2"/>
  <c r="J15" i="2" s="1"/>
  <c r="I15" i="2" s="1"/>
  <c r="H16" i="2"/>
  <c r="J16" i="2" s="1"/>
  <c r="I16" i="2" s="1"/>
  <c r="H17" i="2"/>
  <c r="J17" i="2" s="1"/>
  <c r="I17" i="2" s="1"/>
  <c r="H18" i="2"/>
  <c r="J18" i="2" s="1"/>
  <c r="I18" i="2" s="1"/>
  <c r="H19" i="2"/>
  <c r="J19" i="2" s="1"/>
  <c r="I19" i="2" s="1"/>
  <c r="H20" i="2"/>
  <c r="J20" i="2" s="1"/>
  <c r="I20" i="2" s="1"/>
  <c r="H21" i="2"/>
  <c r="J21" i="2" s="1"/>
  <c r="H2" i="2"/>
  <c r="J2" i="2" s="1"/>
  <c r="G25" i="2" s="1"/>
  <c r="I21" i="2" l="1"/>
  <c r="I2" i="2"/>
  <c r="J25" i="2"/>
  <c r="J25" i="2" a="1"/>
  <c r="A25"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<sst xmlns="http://schemas.openxmlformats.org/spreadsheetml/2006/main" count="249" uniqueCount="176">
  <si>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</si>
  <si>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</si>
  <si>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</si>
  <si>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</si>
  <si>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</si>
  <si>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</si>
  <si>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</si>
  <si>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</si>
  <si>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</si>
  <si>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</si>
  <si>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</si>
  <si>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</si>
  <si>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</si>
  <si>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</si>
  <si>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</si>
  <si>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</si>
  <si>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</si>
  <si>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</si>
  <si>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</si>
  <si>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</si>
  <si>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</si>
  <si>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</si>
  <si>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</si>
  <si>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</si>
  <si>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</si>
  <si>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</si>
  <si>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</si>
  <si>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</si>
  <si>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</si>
  <si>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</si>
  <si>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</si>
  <si>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</si>
  <si>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</si>
  <si>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</si>
  <si>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</si>
  <si>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</si>
  <si>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</si>
  <si>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</si>
  <si>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</si>
  <si>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</si>
  <si>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</si>
  <si>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</si>
  <si>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</si>
  <si>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</si>
  <si>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</si>
  <si>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</si>
  <si>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</si>
  <si>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</si>
  <si>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</si>
  <si>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</si>
  <si>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</si>
  <si>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</si>
  <si>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</si>
  <si>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</si>
  <si>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</si>
  <si>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</si>
  <si>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</si>
  <si>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</si>
  <si>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</si>
  <si>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</si>
  <si>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</si>
  <si>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</si>
  <si>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</si>
  <si>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</si>
  <si>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</si>
  <si>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</si>
  <si>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</si>
  <si>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</si>
  <si>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</si>
  <si>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</si>
  <si>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</si>
  <si>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</si>
  <si>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</si>
  <si>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</si>
  <si>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</si>
  <si>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</si>
  <si>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</si>
  <si>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</si>
  <si>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</si>
  <si>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</si>
  <si>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</si>
  <si>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</si>
  <si>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</si>
  <si>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</si>
  <si>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</si>
  <si>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</si>
  <si>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</si>
  <si>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</si>
  <si>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</si>
  <si>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</si>
  <si>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</si>
  <si>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</si>
  <si>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</si>
  <si>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</si>
  <si>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</si>
  <si>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</si>
  <si>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</si>
  <si>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</si>
  <si>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</si>
  <si>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</si>
  <si>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</si>
  <si>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</si>
  <si>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</si>
  <si>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</si>
  <si>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</si>
  <si>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</si>
  <si>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</si>
  <si>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</si>
  <si>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</si>
  <si>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</si>
  <si>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</si>
  <si>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</si>
  <si>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</si>
  <si>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</si>
  <si>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</si>
  <si>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</si>
  <si>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</si>
  <si>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</si>
  <si>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</si>
  <si>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</si>
  <si>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</si>
  <si>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</si>
  <si>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</si>
  <si>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</si>
  <si>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</si>
  <si>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</si>
  <si>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</si>
  <si>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</si>
  <si>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</si>
  <si>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</si>
  <si>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 Marks</t>
  </si>
  <si>
    <t>Grade</t>
  </si>
  <si>
    <t>Percentage</t>
  </si>
  <si>
    <t>Students scoring above 60%</t>
  </si>
  <si>
    <t>Students scoring more than 80 in Maths and Science</t>
  </si>
  <si>
    <t>Students scoring More than 50 in maths</t>
  </si>
  <si>
    <t>Avegrage score of students have more then 60%</t>
  </si>
  <si>
    <t>Top performing students</t>
  </si>
  <si>
    <t>Discount</t>
  </si>
  <si>
    <t>Discount Eligibility</t>
  </si>
  <si>
    <t>Total Sum According to region</t>
  </si>
  <si>
    <t>Total Sum According to Product</t>
  </si>
  <si>
    <t>Month-Year</t>
  </si>
  <si>
    <t>Xlookup for sales</t>
  </si>
  <si>
    <t>Position of Laptop</t>
  </si>
  <si>
    <t>Product Code</t>
  </si>
  <si>
    <t>Product Name</t>
  </si>
  <si>
    <t>Unit Price</t>
  </si>
  <si>
    <t>P001</t>
  </si>
  <si>
    <t>P003</t>
  </si>
  <si>
    <t>P002</t>
  </si>
  <si>
    <t>Product Name:</t>
  </si>
  <si>
    <t>Unit Price:</t>
  </si>
  <si>
    <t>P004</t>
  </si>
  <si>
    <t>P005</t>
  </si>
  <si>
    <t>Product Code:</t>
  </si>
  <si>
    <t>Total Sales</t>
  </si>
  <si>
    <t>Roundup Amount</t>
  </si>
  <si>
    <t>Celing amount</t>
  </si>
  <si>
    <t>Floor</t>
  </si>
  <si>
    <t>Student ID:</t>
  </si>
  <si>
    <t>Student Name:</t>
  </si>
  <si>
    <t>Student Grade:</t>
  </si>
  <si>
    <t>Student Vlookup</t>
  </si>
  <si>
    <t>Product Vlookup</t>
  </si>
  <si>
    <t>Emp Name:</t>
  </si>
  <si>
    <t>Emp Salary:</t>
  </si>
  <si>
    <t>Emp Dept:</t>
  </si>
  <si>
    <t>Emp Id:</t>
  </si>
  <si>
    <t>Get Emp Details</t>
  </si>
  <si>
    <t>Bonus Eligibility</t>
  </si>
  <si>
    <t>No. of employees having salary &gt; 50K</t>
  </si>
  <si>
    <t>Hr</t>
  </si>
  <si>
    <t>Total Salary Dept Vise</t>
  </si>
  <si>
    <t xml:space="preserve"> </t>
  </si>
  <si>
    <t>Years or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</si>
</sst>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3">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1"/>
      <color rgb="FF000000"/>
      <name val="Calibri"/>
      <family val="2"/>
    </font>
    <font>
      <b/>
      <sz val="11"/>
      <name val="Calibri"/>
      <family val="2"/>
      <scheme val="minor"/>
    </font>
  </fonts>
  <fills count="7">
    <fill>
      <patternFill patternType="none"/>
    </fill>
    <fill>
      <patternFill patternType="gray125"/>
    </fill>
    <fill>
      <patternFill patternType="solid">
        <fgColor rgb="FFFFF2CC"/>
        <bgColor rgb="FFFFF2CC"/>
      </patternFill>
    </fill>
    <fill>
      <patternFill patternType="solid">
        <fgColor theme="0"/>
        <bgColor rgb="FFFFF2CC"/>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rgb="FFCCE5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9" fontId="3" fillId="0" borderId="0" applyFont="0" applyFill="0" applyBorder="0" applyAlignment="0" applyProtection="0"/>
  </cellStyleXfs>
  <cellXfs count="44">
    <xf numFmtId="0" fontId="0" fillId="0" borderId="0" xfId="0"/>
    <xf numFmtId="0" fontId="2" fillId="2" borderId="1" xfId="0" applyFont="1" applyFill="1" applyBorder="1" applyAlignment="1">
      <alignment horizontal="center" vertical="center"/>
    </xf>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7" fillId="0" borderId="1" xfId="0" applyFont="1" applyBorder="1" applyAlignment="1">
      <alignment vertical="center" wrapText="1"/>
    </xf>
    <xf numFmtId="9" fontId="3" fillId="0" borderId="0" xfId="1" applyFont="1" applyAlignment="1">
      <alignment horizontal="center" vertical="center"/>
    </xf>
    <xf numFmtId="0" fontId="11" fillId="2" borderId="2" xfId="0" applyFont="1" applyFill="1" applyBorder="1" applyAlignment="1">
      <alignment horizontal="center" vertical="center"/>
    </xf>
    <xf numFmtId="0" fontId="11" fillId="3" borderId="0" xfId="0" applyFont="1" applyFill="1" applyAlignment="1">
      <alignment horizontal="center" vertical="center"/>
    </xf>
    <xf numFmtId="0" fontId="5" fillId="2" borderId="3" xfId="0" applyFont="1" applyFill="1" applyBorder="1" applyAlignment="1">
      <alignment horizontal="center" vertical="center"/>
    </xf>
    <xf numFmtId="164" fontId="4" fillId="0" borderId="4" xfId="0" applyNumberFormat="1" applyFont="1" applyBorder="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0" fontId="1" fillId="0" borderId="1" xfId="0" applyFont="1" applyBorder="1" applyAlignment="1">
      <alignment vertical="center"/>
    </xf>
    <xf numFmtId="0" fontId="10" fillId="4" borderId="0" xfId="0" applyFont="1" applyFill="1" applyAlignment="1">
      <alignment horizontal="center" vertical="center"/>
    </xf>
    <xf numFmtId="0" fontId="1" fillId="0" borderId="0" xfId="0" applyFont="1" applyAlignment="1">
      <alignment horizontal="center" vertical="center"/>
    </xf>
    <xf numFmtId="0" fontId="10" fillId="4" borderId="0" xfId="0" applyFont="1" applyFill="1" applyAlignment="1">
      <alignment horizontal="center" vertical="center" wrapText="1"/>
    </xf>
    <xf numFmtId="0" fontId="10" fillId="5" borderId="0" xfId="0" applyFont="1" applyFill="1" applyAlignment="1">
      <alignment horizontal="center" vertical="center"/>
    </xf>
    <xf numFmtId="0" fontId="10" fillId="0" borderId="1" xfId="0" applyFont="1" applyBorder="1" applyAlignment="1">
      <alignment vertical="center"/>
    </xf>
    <xf numFmtId="0" fontId="10" fillId="0" borderId="0" xfId="0" applyFont="1"/>
    <xf numFmtId="0" fontId="10" fillId="4" borderId="0" xfId="0" applyFont="1" applyFill="1" applyAlignment="1">
      <alignment horizontal="center" vertical="center"/>
    </xf>
    <xf numFmtId="0" fontId="10" fillId="5" borderId="0" xfId="0" applyFont="1" applyFill="1"/>
    <xf numFmtId="0" fontId="10" fillId="4" borderId="0" xfId="0" applyFont="1" applyFill="1"/>
    <xf numFmtId="0" fontId="12" fillId="0" borderId="0" xfId="0" applyFont="1"/>
    <xf numFmtId="0" fontId="12" fillId="6" borderId="0" xfId="0" applyFont="1" applyFill="1"/>
    <xf numFmtId="0" fontId="10" fillId="4" borderId="2" xfId="0" applyFont="1" applyFill="1" applyBorder="1" applyAlignment="1">
      <alignment horizontal="center" vertical="center"/>
    </xf>
    <xf numFmtId="0" fontId="10" fillId="4" borderId="2" xfId="0" applyFont="1" applyFill="1" applyBorder="1" applyAlignment="1">
      <alignment horizontal="center" vertical="center" wrapText="1"/>
    </xf>
    <xf numFmtId="0" fontId="10" fillId="4" borderId="2" xfId="0" applyFont="1" applyFill="1" applyBorder="1" applyAlignment="1">
      <alignment horizontal="center" vertical="center"/>
    </xf>
    <xf numFmtId="0" fontId="3" fillId="4" borderId="2" xfId="0" applyFont="1" applyFill="1" applyBorder="1" applyAlignment="1">
      <alignment horizontal="center" vertical="center"/>
    </xf>
    <xf numFmtId="0" fontId="10" fillId="0" borderId="0" xfId="0" applyFont="1" applyAlignment="1">
      <alignment horizontal="center" vertical="center"/>
    </xf>
    <xf numFmtId="0" fontId="10" fillId="4" borderId="2" xfId="0" applyFont="1" applyFill="1" applyBorder="1" applyAlignment="1">
      <alignment horizontal="center" vertical="center" wrapText="1"/>
    </xf>
    <xf numFmtId="9" fontId="10" fillId="0" borderId="0" xfId="1" applyFont="1" applyAlignment="1">
      <alignment horizontal="center" vertical="center"/>
    </xf>
    <xf numFmtId="0" fontId="3" fillId="0" borderId="0" xfId="0" applyFont="1" applyFill="1" applyAlignment="1">
      <alignment horizontal="center" vertical="center"/>
    </xf>
    <xf numFmtId="9" fontId="10" fillId="0" borderId="0" xfId="1" applyFont="1" applyAlignment="1">
      <alignment horizontal="center" vertical="center"/>
    </xf>
    <xf numFmtId="0" fontId="10" fillId="4" borderId="0" xfId="0" applyFont="1" applyFill="1" applyAlignment="1">
      <alignment horizontal="center"/>
    </xf>
    <xf numFmtId="0" fontId="10" fillId="0" borderId="0" xfId="0" applyFont="1" applyAlignment="1">
      <alignment horizontal="left" vertical="center"/>
    </xf>
    <xf numFmtId="0" fontId="10" fillId="0" borderId="0" xfId="0" applyFont="1" applyAlignment="1">
      <alignment horizontal="right"/>
    </xf>
    <xf numFmtId="0" fontId="10" fillId="5" borderId="0" xfId="0" applyFont="1" applyFill="1" applyAlignment="1">
      <alignment horizontal="center"/>
    </xf>
    <xf numFmtId="0" fontId="12" fillId="0" borderId="0" xfId="0" applyFont="1" applyFill="1" applyBorder="1" applyAlignment="1">
      <alignment vertical="center"/>
    </xf>
    <xf numFmtId="0" fontId="3" fillId="0" borderId="0"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workbookViewId="0">
      <selection activeCell="A37" sqref="A37"/>
    </sheetView>
  </sheetViews>
  <sheetFormatPr defaultColWidth="14.44140625" defaultRowHeight="15" customHeight="1"/>
  <cols>
    <col min="1" max="1" width="75.44140625" customWidth="1"/>
  </cols>
  <sheetData>
    <row r="1" spans="1:26" ht="14.4">
      <c r="A1" s="1" t="s">
        <v>0</v>
      </c>
      <c r="B1" s="2"/>
      <c r="C1" s="2"/>
      <c r="D1" s="2"/>
      <c r="E1" s="2"/>
      <c r="F1" s="2"/>
      <c r="G1" s="2"/>
      <c r="H1" s="2"/>
      <c r="I1" s="2"/>
      <c r="J1" s="2"/>
      <c r="K1" s="2"/>
      <c r="L1" s="2"/>
      <c r="M1" s="2"/>
      <c r="N1" s="2"/>
      <c r="O1" s="2"/>
      <c r="P1" s="2"/>
      <c r="Q1" s="2"/>
      <c r="R1" s="2"/>
      <c r="S1" s="2"/>
      <c r="T1" s="2"/>
      <c r="U1" s="2"/>
      <c r="V1" s="2"/>
      <c r="W1" s="2"/>
      <c r="X1" s="2"/>
      <c r="Y1" s="2"/>
      <c r="Z1" s="2"/>
    </row>
    <row r="2" spans="1:26" ht="362.4" customHeight="1">
      <c r="A2" s="9" t="s">
        <v>1</v>
      </c>
      <c r="B2" s="2"/>
      <c r="C2" s="2"/>
      <c r="D2" s="2"/>
      <c r="E2" s="2"/>
      <c r="F2" s="2"/>
      <c r="G2" s="2"/>
      <c r="H2" s="2"/>
      <c r="I2" s="2"/>
      <c r="J2" s="2"/>
      <c r="K2" s="2"/>
      <c r="L2" s="2"/>
      <c r="M2" s="2"/>
      <c r="N2" s="2"/>
      <c r="O2" s="2"/>
      <c r="P2" s="2"/>
      <c r="Q2" s="2"/>
      <c r="R2" s="2"/>
      <c r="S2" s="2"/>
      <c r="T2" s="2"/>
      <c r="U2" s="2"/>
      <c r="V2" s="2"/>
      <c r="W2" s="2"/>
      <c r="X2" s="2"/>
      <c r="Y2" s="2"/>
      <c r="Z2" s="2"/>
    </row>
    <row r="3" spans="1:26" ht="14.4">
      <c r="A3" s="2"/>
      <c r="B3" s="2"/>
      <c r="C3" s="2"/>
      <c r="D3" s="2"/>
      <c r="E3" s="2"/>
      <c r="F3" s="2"/>
      <c r="G3" s="2"/>
      <c r="H3" s="2"/>
      <c r="I3" s="2"/>
      <c r="J3" s="2"/>
      <c r="K3" s="2"/>
      <c r="L3" s="2"/>
      <c r="M3" s="2"/>
      <c r="N3" s="2"/>
      <c r="O3" s="2"/>
      <c r="P3" s="2"/>
      <c r="Q3" s="2"/>
      <c r="R3" s="2"/>
      <c r="S3" s="2"/>
      <c r="T3" s="2"/>
      <c r="U3" s="2"/>
      <c r="V3" s="2"/>
      <c r="W3" s="2"/>
      <c r="X3" s="2"/>
      <c r="Y3" s="2"/>
      <c r="Z3" s="2"/>
    </row>
    <row r="4" spans="1:26" ht="14.4">
      <c r="A4" s="2"/>
      <c r="B4" s="2"/>
      <c r="C4" s="2"/>
      <c r="D4" s="2"/>
      <c r="E4" s="2"/>
      <c r="F4" s="2"/>
      <c r="G4" s="2"/>
      <c r="H4" s="2"/>
      <c r="I4" s="2"/>
      <c r="J4" s="2"/>
      <c r="K4" s="2"/>
      <c r="L4" s="2"/>
      <c r="M4" s="2"/>
      <c r="N4" s="2"/>
      <c r="O4" s="2"/>
      <c r="P4" s="2"/>
      <c r="Q4" s="2"/>
      <c r="R4" s="2"/>
      <c r="S4" s="2"/>
      <c r="T4" s="2"/>
      <c r="U4" s="2"/>
      <c r="V4" s="2"/>
      <c r="W4" s="2"/>
      <c r="X4" s="2"/>
      <c r="Y4" s="2"/>
      <c r="Z4" s="2"/>
    </row>
    <row r="5" spans="1:26" ht="14.4">
      <c r="A5" s="1" t="s">
        <v>2</v>
      </c>
      <c r="B5" s="2"/>
      <c r="C5" s="2"/>
      <c r="D5" s="2"/>
      <c r="E5" s="2"/>
      <c r="F5" s="2"/>
      <c r="G5" s="2"/>
      <c r="H5" s="2"/>
      <c r="I5" s="2"/>
      <c r="J5" s="2"/>
      <c r="K5" s="2"/>
      <c r="L5" s="2"/>
      <c r="M5" s="2"/>
      <c r="N5" s="2"/>
      <c r="O5" s="2"/>
      <c r="P5" s="2"/>
      <c r="Q5" s="2"/>
      <c r="R5" s="2"/>
      <c r="S5" s="2"/>
      <c r="T5" s="2"/>
      <c r="U5" s="2"/>
      <c r="V5" s="2"/>
      <c r="W5" s="2"/>
      <c r="X5" s="2"/>
      <c r="Y5" s="2"/>
      <c r="Z5" s="2"/>
    </row>
    <row r="6" spans="1:26" ht="14.4">
      <c r="A6" s="3" t="s">
        <v>3</v>
      </c>
      <c r="B6" s="2"/>
      <c r="C6" s="2"/>
      <c r="D6" s="2"/>
      <c r="E6" s="2"/>
      <c r="F6" s="2"/>
      <c r="G6" s="2"/>
      <c r="H6" s="2"/>
      <c r="I6" s="2"/>
      <c r="J6" s="2"/>
      <c r="K6" s="2"/>
      <c r="L6" s="2"/>
      <c r="M6" s="2"/>
      <c r="N6" s="2"/>
      <c r="O6" s="2"/>
      <c r="P6" s="2"/>
      <c r="Q6" s="2"/>
      <c r="R6" s="2"/>
      <c r="S6" s="2"/>
      <c r="T6" s="2"/>
      <c r="U6" s="2"/>
      <c r="V6" s="2"/>
      <c r="W6" s="2"/>
      <c r="X6" s="2"/>
      <c r="Y6" s="2"/>
      <c r="Z6" s="2"/>
    </row>
    <row r="7" spans="1:26" ht="14.4">
      <c r="A7" s="4" t="s">
        <v>4</v>
      </c>
      <c r="B7" s="2"/>
      <c r="C7" s="2"/>
      <c r="D7" s="2"/>
      <c r="E7" s="2"/>
      <c r="F7" s="2"/>
      <c r="G7" s="2"/>
      <c r="H7" s="2"/>
      <c r="I7" s="2"/>
      <c r="J7" s="2"/>
      <c r="K7" s="2"/>
      <c r="L7" s="2"/>
      <c r="M7" s="2"/>
      <c r="N7" s="2"/>
      <c r="O7" s="2"/>
      <c r="P7" s="2"/>
      <c r="Q7" s="2"/>
      <c r="R7" s="2"/>
      <c r="S7" s="2"/>
      <c r="T7" s="2"/>
      <c r="U7" s="2"/>
      <c r="V7" s="2"/>
      <c r="W7" s="2"/>
      <c r="X7" s="2"/>
      <c r="Y7" s="2"/>
      <c r="Z7" s="2"/>
    </row>
    <row r="8" spans="1:26" ht="14.4">
      <c r="A8" s="4" t="s">
        <v>5</v>
      </c>
      <c r="B8" s="2"/>
      <c r="C8" s="2"/>
      <c r="D8" s="2"/>
      <c r="E8" s="2"/>
      <c r="F8" s="2"/>
      <c r="G8" s="2"/>
      <c r="H8" s="2"/>
      <c r="I8" s="2"/>
      <c r="J8" s="2"/>
      <c r="K8" s="2"/>
      <c r="L8" s="2"/>
      <c r="M8" s="2"/>
      <c r="N8" s="2"/>
      <c r="O8" s="2"/>
      <c r="P8" s="2"/>
      <c r="Q8" s="2"/>
      <c r="R8" s="2"/>
      <c r="S8" s="2"/>
      <c r="T8" s="2"/>
      <c r="U8" s="2"/>
      <c r="V8" s="2"/>
      <c r="W8" s="2"/>
      <c r="X8" s="2"/>
      <c r="Y8" s="2"/>
      <c r="Z8" s="2"/>
    </row>
    <row r="9" spans="1:26" ht="14.4">
      <c r="A9" s="4"/>
      <c r="B9" s="2"/>
      <c r="C9" s="2"/>
      <c r="D9" s="2"/>
      <c r="E9" s="2"/>
      <c r="F9" s="2"/>
      <c r="G9" s="2"/>
      <c r="H9" s="2"/>
      <c r="I9" s="2"/>
      <c r="J9" s="2"/>
      <c r="K9" s="2"/>
      <c r="L9" s="2"/>
      <c r="M9" s="2"/>
      <c r="N9" s="2"/>
      <c r="O9" s="2"/>
      <c r="P9" s="2"/>
      <c r="Q9" s="2"/>
      <c r="R9" s="2"/>
      <c r="S9" s="2"/>
      <c r="T9" s="2"/>
      <c r="U9" s="2"/>
      <c r="V9" s="2"/>
      <c r="W9" s="2"/>
      <c r="X9" s="2"/>
      <c r="Y9" s="2"/>
      <c r="Z9" s="2"/>
    </row>
    <row r="10" spans="1:26" ht="14.4">
      <c r="A10" s="3"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4"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4"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4"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4"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17"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3"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17"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17"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3"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17"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4"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3"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4"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4"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3"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4"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4"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3"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17"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3"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4"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22"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17"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3"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4"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4"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3"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4"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3"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4"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workbookViewId="0">
      <selection activeCell="F22" sqref="F22"/>
    </sheetView>
  </sheetViews>
  <sheetFormatPr defaultColWidth="14.44140625" defaultRowHeight="15" customHeight="1"/>
  <cols>
    <col min="1" max="1" width="10.33203125" customWidth="1"/>
    <col min="2" max="2" width="10.44140625" customWidth="1"/>
    <col min="3" max="3" width="5.88671875" customWidth="1"/>
    <col min="4" max="4" width="9.6640625" customWidth="1"/>
    <col min="5" max="5" width="11.109375" customWidth="1"/>
    <col min="6" max="6" width="18.88671875" customWidth="1"/>
    <col min="7" max="7" width="8.6640625" customWidth="1"/>
    <col min="8" max="8" width="10.33203125" customWidth="1"/>
    <col min="9" max="9" width="8.44140625" customWidth="1"/>
    <col min="10" max="10" width="11.21875" customWidth="1"/>
    <col min="11" max="11" width="20.21875" customWidth="1"/>
    <col min="13" max="13" width="18.33203125" customWidth="1"/>
    <col min="14" max="26" width="8.6640625" customWidth="1"/>
  </cols>
  <sheetData>
    <row r="1" spans="1:26" ht="39.6" customHeight="1">
      <c r="A1" s="5" t="s">
        <v>41</v>
      </c>
      <c r="B1" s="5" t="s">
        <v>42</v>
      </c>
      <c r="C1" s="5" t="s">
        <v>43</v>
      </c>
      <c r="D1" s="5" t="s">
        <v>44</v>
      </c>
      <c r="E1" s="13" t="s">
        <v>45</v>
      </c>
      <c r="F1" s="11" t="s">
        <v>46</v>
      </c>
      <c r="G1" s="12"/>
      <c r="H1" s="29" t="s">
        <v>130</v>
      </c>
      <c r="I1" s="29" t="s">
        <v>131</v>
      </c>
      <c r="J1" s="29" t="s">
        <v>132</v>
      </c>
      <c r="K1" s="30" t="s">
        <v>134</v>
      </c>
      <c r="N1" s="6"/>
      <c r="S1" s="6"/>
      <c r="T1" s="6"/>
      <c r="U1" s="6"/>
      <c r="V1" s="6"/>
      <c r="W1" s="6"/>
      <c r="X1" s="6"/>
      <c r="Y1" s="6"/>
      <c r="Z1" s="6"/>
    </row>
    <row r="2" spans="1:26" ht="14.4">
      <c r="A2" s="7">
        <v>1001</v>
      </c>
      <c r="B2" s="7" t="s">
        <v>47</v>
      </c>
      <c r="C2" s="7">
        <v>61</v>
      </c>
      <c r="D2" s="7">
        <v>48</v>
      </c>
      <c r="E2" s="7">
        <v>76</v>
      </c>
      <c r="F2" s="14">
        <v>43101</v>
      </c>
      <c r="G2" s="6"/>
      <c r="H2" s="6">
        <f>SUM(C2:E2)</f>
        <v>185</v>
      </c>
      <c r="I2" s="6" t="str">
        <f>IF(J2&gt;=0.9,"A",IF(J2&gt;=0.75,"B",IF(J2&gt;=0.6,"C",IF(J2&gt;=0.4,"D","F"))))</f>
        <v>C</v>
      </c>
      <c r="J2" s="10">
        <f>(H2/300)</f>
        <v>0.6166666666666667</v>
      </c>
      <c r="K2" s="15" t="str">
        <f>IF(AND(C2&gt;=80, D2&gt;=80),"YES","NO")</f>
        <v>NO</v>
      </c>
      <c r="S2" s="6"/>
      <c r="T2" s="6"/>
      <c r="U2" s="6"/>
      <c r="V2" s="6"/>
      <c r="W2" s="6"/>
      <c r="X2" s="6"/>
      <c r="Y2" s="6"/>
      <c r="Z2" s="6"/>
    </row>
    <row r="3" spans="1:26" ht="14.4">
      <c r="A3" s="7">
        <v>1002</v>
      </c>
      <c r="B3" s="7" t="s">
        <v>48</v>
      </c>
      <c r="C3" s="7">
        <v>78</v>
      </c>
      <c r="D3" s="7">
        <v>76</v>
      </c>
      <c r="E3" s="7">
        <v>70</v>
      </c>
      <c r="F3" s="8">
        <v>43281</v>
      </c>
      <c r="G3" s="6"/>
      <c r="H3" s="6">
        <f t="shared" ref="H3:H21" si="0">SUM(C3:E3)</f>
        <v>224</v>
      </c>
      <c r="I3" s="6" t="str">
        <f t="shared" ref="I3:I21" si="1">IF(J3&gt;=0.9,"A",IF(J3&gt;=0.75,"B",IF(J3&gt;=0.6,"C",IF(J3&gt;=0.4,"D","F"))))</f>
        <v>C</v>
      </c>
      <c r="J3" s="10">
        <f t="shared" ref="J3:J21" si="2">(H3/300)</f>
        <v>0.7466666666666667</v>
      </c>
      <c r="K3" s="15" t="str">
        <f>IF(AND(C3&gt;=80, D3&gt;=80),"YES","NO")</f>
        <v>NO</v>
      </c>
      <c r="S3" s="6"/>
      <c r="T3" s="6"/>
      <c r="U3" s="6"/>
      <c r="V3" s="6"/>
      <c r="W3" s="6"/>
      <c r="X3" s="6"/>
      <c r="Y3" s="6"/>
      <c r="Z3" s="6"/>
    </row>
    <row r="4" spans="1:26" ht="14.4">
      <c r="A4" s="7">
        <v>1003</v>
      </c>
      <c r="B4" s="7" t="s">
        <v>49</v>
      </c>
      <c r="C4" s="7">
        <v>97</v>
      </c>
      <c r="D4" s="7">
        <v>60</v>
      </c>
      <c r="E4" s="7">
        <v>51</v>
      </c>
      <c r="F4" s="8">
        <v>43461</v>
      </c>
      <c r="G4" s="6"/>
      <c r="H4" s="6">
        <f t="shared" si="0"/>
        <v>208</v>
      </c>
      <c r="I4" s="6" t="str">
        <f t="shared" si="1"/>
        <v>C</v>
      </c>
      <c r="J4" s="10">
        <f t="shared" si="2"/>
        <v>0.69333333333333336</v>
      </c>
      <c r="K4" s="15" t="str">
        <f>IF(AND(C4&gt;=80, D4&gt;=80),"YES","NO")</f>
        <v>NO</v>
      </c>
      <c r="N4" s="6"/>
      <c r="O4" s="6"/>
      <c r="P4" s="6"/>
      <c r="Q4" s="6"/>
      <c r="R4" s="6"/>
      <c r="S4" s="6"/>
      <c r="T4" s="6"/>
      <c r="U4" s="6"/>
      <c r="V4" s="6"/>
      <c r="W4" s="6"/>
      <c r="X4" s="6"/>
      <c r="Y4" s="6"/>
      <c r="Z4" s="6"/>
    </row>
    <row r="5" spans="1:26" ht="14.4">
      <c r="A5" s="7">
        <v>1004</v>
      </c>
      <c r="B5" s="7" t="s">
        <v>50</v>
      </c>
      <c r="C5" s="7">
        <v>74</v>
      </c>
      <c r="D5" s="7">
        <v>55</v>
      </c>
      <c r="E5" s="7">
        <v>46</v>
      </c>
      <c r="F5" s="8">
        <v>43641</v>
      </c>
      <c r="G5" s="6"/>
      <c r="H5" s="6">
        <f t="shared" si="0"/>
        <v>175</v>
      </c>
      <c r="I5" s="6" t="str">
        <f t="shared" si="1"/>
        <v>D</v>
      </c>
      <c r="J5" s="10">
        <f t="shared" si="2"/>
        <v>0.58333333333333337</v>
      </c>
      <c r="K5" s="15" t="str">
        <f>IF(AND(C5&gt;=80, D5&gt;=80),"YES","NO")</f>
        <v>NO</v>
      </c>
      <c r="N5" s="6"/>
      <c r="O5" s="6"/>
      <c r="P5" s="6"/>
      <c r="Q5" s="6"/>
      <c r="R5" s="6"/>
      <c r="S5" s="6"/>
      <c r="T5" s="6"/>
      <c r="U5" s="6"/>
      <c r="V5" s="6"/>
      <c r="W5" s="6"/>
      <c r="X5" s="6"/>
      <c r="Y5" s="6"/>
      <c r="Z5" s="6"/>
    </row>
    <row r="6" spans="1:26" ht="14.4">
      <c r="A6" s="7">
        <v>1005</v>
      </c>
      <c r="B6" s="7" t="s">
        <v>51</v>
      </c>
      <c r="C6" s="7">
        <v>68</v>
      </c>
      <c r="D6" s="7">
        <v>74</v>
      </c>
      <c r="E6" s="7">
        <v>84</v>
      </c>
      <c r="F6" s="8">
        <v>43821</v>
      </c>
      <c r="G6" s="6"/>
      <c r="H6" s="6">
        <f t="shared" si="0"/>
        <v>226</v>
      </c>
      <c r="I6" s="6" t="str">
        <f t="shared" si="1"/>
        <v>B</v>
      </c>
      <c r="J6" s="10">
        <f t="shared" si="2"/>
        <v>0.7533333333333333</v>
      </c>
      <c r="K6" s="15" t="str">
        <f>IF(AND(C6&gt;=80, D6&gt;=80),"YES","NO")</f>
        <v>NO</v>
      </c>
      <c r="N6" s="6"/>
      <c r="O6" s="6"/>
      <c r="P6" s="6"/>
      <c r="Q6" s="6"/>
      <c r="R6" s="6"/>
      <c r="S6" s="6"/>
      <c r="T6" s="6"/>
      <c r="U6" s="6"/>
      <c r="V6" s="6"/>
      <c r="W6" s="6"/>
      <c r="X6" s="6"/>
      <c r="Y6" s="6"/>
      <c r="Z6" s="6"/>
    </row>
    <row r="7" spans="1:26" ht="21" customHeight="1">
      <c r="A7" s="7">
        <v>1006</v>
      </c>
      <c r="B7" s="7" t="s">
        <v>52</v>
      </c>
      <c r="C7" s="7">
        <v>80</v>
      </c>
      <c r="D7" s="7">
        <v>70</v>
      </c>
      <c r="E7" s="7">
        <v>65</v>
      </c>
      <c r="F7" s="8">
        <v>44001</v>
      </c>
      <c r="G7" s="6"/>
      <c r="H7" s="6">
        <f t="shared" si="0"/>
        <v>215</v>
      </c>
      <c r="I7" s="6" t="str">
        <f t="shared" si="1"/>
        <v>C</v>
      </c>
      <c r="J7" s="10">
        <f t="shared" si="2"/>
        <v>0.71666666666666667</v>
      </c>
      <c r="K7" s="15" t="str">
        <f>IF(AND(C7&gt;=80, D7&gt;=80),"YES","NO")</f>
        <v>NO</v>
      </c>
      <c r="N7" s="6"/>
      <c r="O7" s="6"/>
      <c r="P7" s="6"/>
      <c r="Q7" s="6"/>
      <c r="R7" s="6"/>
      <c r="S7" s="6"/>
      <c r="T7" s="6"/>
      <c r="U7" s="6"/>
      <c r="V7" s="6"/>
      <c r="W7" s="6"/>
      <c r="X7" s="6"/>
      <c r="Y7" s="6"/>
      <c r="Z7" s="6"/>
    </row>
    <row r="8" spans="1:26" ht="14.4">
      <c r="A8" s="7">
        <v>1007</v>
      </c>
      <c r="B8" s="7" t="s">
        <v>53</v>
      </c>
      <c r="C8" s="7">
        <v>75</v>
      </c>
      <c r="D8" s="7">
        <v>47</v>
      </c>
      <c r="E8" s="7">
        <v>78</v>
      </c>
      <c r="F8" s="8">
        <v>44181</v>
      </c>
      <c r="G8" s="6"/>
      <c r="H8" s="6">
        <f t="shared" si="0"/>
        <v>200</v>
      </c>
      <c r="I8" s="6" t="str">
        <f t="shared" si="1"/>
        <v>C</v>
      </c>
      <c r="J8" s="10">
        <f t="shared" si="2"/>
        <v>0.66666666666666663</v>
      </c>
      <c r="K8" s="15" t="str">
        <f>IF(AND(C8&gt;=80, D8&gt;=80),"YES","NO")</f>
        <v>NO</v>
      </c>
      <c r="N8" s="6"/>
      <c r="O8" s="6"/>
      <c r="P8" s="6"/>
      <c r="Q8" s="6"/>
      <c r="R8" s="6"/>
      <c r="S8" s="6"/>
      <c r="T8" s="6"/>
      <c r="U8" s="6"/>
      <c r="V8" s="6"/>
      <c r="W8" s="6"/>
      <c r="X8" s="6"/>
      <c r="Y8" s="6"/>
      <c r="Z8" s="6"/>
    </row>
    <row r="9" spans="1:26" ht="14.4">
      <c r="A9" s="7">
        <v>1008</v>
      </c>
      <c r="B9" s="7" t="s">
        <v>54</v>
      </c>
      <c r="C9" s="7">
        <v>94</v>
      </c>
      <c r="D9" s="7">
        <v>67</v>
      </c>
      <c r="E9" s="7">
        <v>64</v>
      </c>
      <c r="F9" s="8">
        <v>44361</v>
      </c>
      <c r="G9" s="6"/>
      <c r="H9" s="6">
        <f t="shared" si="0"/>
        <v>225</v>
      </c>
      <c r="I9" s="6" t="str">
        <f t="shared" si="1"/>
        <v>B</v>
      </c>
      <c r="J9" s="10">
        <f t="shared" si="2"/>
        <v>0.75</v>
      </c>
      <c r="K9" s="15" t="str">
        <f>IF(AND(C9&gt;=80, D9&gt;=80),"YES","NO")</f>
        <v>NO</v>
      </c>
      <c r="M9" s="6"/>
      <c r="N9" s="6"/>
      <c r="O9" s="6"/>
      <c r="P9" s="6"/>
      <c r="Q9" s="6"/>
      <c r="R9" s="6"/>
      <c r="S9" s="6"/>
      <c r="T9" s="6"/>
      <c r="U9" s="6"/>
      <c r="V9" s="6"/>
      <c r="W9" s="6"/>
      <c r="X9" s="6"/>
      <c r="Y9" s="6"/>
      <c r="Z9" s="6"/>
    </row>
    <row r="10" spans="1:26" ht="14.4">
      <c r="A10" s="7">
        <v>1009</v>
      </c>
      <c r="B10" s="7" t="s">
        <v>55</v>
      </c>
      <c r="C10" s="7">
        <v>41</v>
      </c>
      <c r="D10" s="7">
        <v>75</v>
      </c>
      <c r="E10" s="7">
        <v>56</v>
      </c>
      <c r="F10" s="8">
        <v>44541</v>
      </c>
      <c r="G10" s="6"/>
      <c r="H10" s="6">
        <f t="shared" si="0"/>
        <v>172</v>
      </c>
      <c r="I10" s="6" t="str">
        <f t="shared" si="1"/>
        <v>D</v>
      </c>
      <c r="J10" s="10">
        <f t="shared" si="2"/>
        <v>0.57333333333333336</v>
      </c>
      <c r="K10" s="15" t="str">
        <f>IF(AND(C10&gt;=80, D10&gt;=80),"YES","NO")</f>
        <v>NO</v>
      </c>
      <c r="M10" s="6"/>
      <c r="N10" s="6"/>
      <c r="O10" s="6"/>
      <c r="P10" s="6"/>
      <c r="Q10" s="6"/>
      <c r="R10" s="6"/>
      <c r="S10" s="6"/>
      <c r="T10" s="6"/>
      <c r="U10" s="6"/>
      <c r="V10" s="6"/>
      <c r="W10" s="6"/>
      <c r="X10" s="6"/>
      <c r="Y10" s="6"/>
      <c r="Z10" s="6"/>
    </row>
    <row r="11" spans="1:26" ht="14.4">
      <c r="A11" s="7">
        <v>1010</v>
      </c>
      <c r="B11" s="7" t="s">
        <v>56</v>
      </c>
      <c r="C11" s="7">
        <v>98</v>
      </c>
      <c r="D11" s="7">
        <v>54</v>
      </c>
      <c r="E11" s="7">
        <v>58</v>
      </c>
      <c r="F11" s="8">
        <v>44721</v>
      </c>
      <c r="G11" s="6"/>
      <c r="H11" s="6">
        <f t="shared" si="0"/>
        <v>210</v>
      </c>
      <c r="I11" s="6" t="str">
        <f t="shared" si="1"/>
        <v>C</v>
      </c>
      <c r="J11" s="10">
        <f t="shared" si="2"/>
        <v>0.7</v>
      </c>
      <c r="K11" s="15" t="str">
        <f>IF(AND(C11&gt;=80, D11&gt;=80),"YES","NO")</f>
        <v>NO</v>
      </c>
      <c r="M11" s="6"/>
      <c r="N11" s="6"/>
      <c r="O11" s="6"/>
      <c r="P11" s="6"/>
      <c r="Q11" s="6"/>
      <c r="R11" s="6"/>
      <c r="S11" s="6"/>
      <c r="T11" s="6"/>
      <c r="U11" s="6"/>
      <c r="V11" s="6"/>
      <c r="W11" s="6"/>
      <c r="X11" s="6"/>
      <c r="Y11" s="6"/>
      <c r="Z11" s="6"/>
    </row>
    <row r="12" spans="1:26" ht="14.4">
      <c r="A12" s="7">
        <v>1011</v>
      </c>
      <c r="B12" s="7" t="s">
        <v>57</v>
      </c>
      <c r="C12" s="7">
        <v>73</v>
      </c>
      <c r="D12" s="7">
        <v>79</v>
      </c>
      <c r="E12" s="7">
        <v>53</v>
      </c>
      <c r="F12" s="8">
        <v>44901</v>
      </c>
      <c r="G12" s="6"/>
      <c r="H12" s="6">
        <f t="shared" si="0"/>
        <v>205</v>
      </c>
      <c r="I12" s="6" t="str">
        <f t="shared" si="1"/>
        <v>C</v>
      </c>
      <c r="J12" s="10">
        <f t="shared" si="2"/>
        <v>0.68333333333333335</v>
      </c>
      <c r="K12" s="15" t="str">
        <f>IF(AND(C12&gt;=80, D12&gt;=80),"YES","NO")</f>
        <v>NO</v>
      </c>
      <c r="M12" s="6"/>
      <c r="N12" s="6"/>
      <c r="O12" s="6"/>
      <c r="P12" s="6"/>
      <c r="Q12" s="6"/>
      <c r="R12" s="6"/>
      <c r="S12" s="6"/>
      <c r="T12" s="6"/>
      <c r="U12" s="6"/>
      <c r="V12" s="6"/>
      <c r="W12" s="6"/>
      <c r="X12" s="6"/>
      <c r="Y12" s="6"/>
      <c r="Z12" s="6"/>
    </row>
    <row r="13" spans="1:26" ht="14.4">
      <c r="A13" s="7">
        <v>1012</v>
      </c>
      <c r="B13" s="7" t="s">
        <v>58</v>
      </c>
      <c r="C13" s="7">
        <v>85</v>
      </c>
      <c r="D13" s="7">
        <v>89</v>
      </c>
      <c r="E13" s="7">
        <v>79</v>
      </c>
      <c r="F13" s="8">
        <v>45081</v>
      </c>
      <c r="G13" s="6"/>
      <c r="H13" s="6">
        <f t="shared" si="0"/>
        <v>253</v>
      </c>
      <c r="I13" s="6" t="str">
        <f t="shared" si="1"/>
        <v>B</v>
      </c>
      <c r="J13" s="10">
        <f t="shared" si="2"/>
        <v>0.84333333333333338</v>
      </c>
      <c r="K13" s="15" t="str">
        <f>IF(AND(C13&gt;=80, D13&gt;=80),"YES","NO")</f>
        <v>YES</v>
      </c>
      <c r="M13" s="6"/>
      <c r="N13" s="6"/>
      <c r="O13" s="6"/>
      <c r="P13" s="6"/>
      <c r="Q13" s="6"/>
      <c r="R13" s="6"/>
      <c r="S13" s="6"/>
      <c r="T13" s="6"/>
      <c r="U13" s="6"/>
      <c r="V13" s="6"/>
      <c r="W13" s="6"/>
      <c r="X13" s="6"/>
      <c r="Y13" s="6"/>
      <c r="Z13" s="6"/>
    </row>
    <row r="14" spans="1:26" ht="14.4">
      <c r="A14" s="7">
        <v>1013</v>
      </c>
      <c r="B14" s="7" t="s">
        <v>59</v>
      </c>
      <c r="C14" s="7">
        <v>98</v>
      </c>
      <c r="D14" s="7">
        <v>90</v>
      </c>
      <c r="E14" s="7">
        <v>97</v>
      </c>
      <c r="F14" s="8">
        <v>45261</v>
      </c>
      <c r="G14" s="6"/>
      <c r="H14" s="6">
        <f t="shared" si="0"/>
        <v>285</v>
      </c>
      <c r="I14" s="6" t="str">
        <f t="shared" si="1"/>
        <v>A</v>
      </c>
      <c r="J14" s="10">
        <f t="shared" si="2"/>
        <v>0.95</v>
      </c>
      <c r="K14" s="15" t="str">
        <f>IF(AND(C14&gt;=80, D14&gt;=80),"YES","NO")</f>
        <v>YES</v>
      </c>
      <c r="M14" s="6"/>
      <c r="N14" s="6"/>
      <c r="O14" s="6"/>
      <c r="P14" s="6"/>
      <c r="Q14" s="6"/>
      <c r="R14" s="6"/>
      <c r="S14" s="6"/>
      <c r="T14" s="6"/>
      <c r="U14" s="6"/>
      <c r="V14" s="6"/>
      <c r="W14" s="6"/>
      <c r="X14" s="6"/>
      <c r="Y14" s="6"/>
      <c r="Z14" s="6"/>
    </row>
    <row r="15" spans="1:26" ht="14.4">
      <c r="A15" s="7">
        <v>1014</v>
      </c>
      <c r="B15" s="7" t="s">
        <v>60</v>
      </c>
      <c r="C15" s="7">
        <v>93</v>
      </c>
      <c r="D15" s="7">
        <v>40</v>
      </c>
      <c r="E15" s="7">
        <v>44</v>
      </c>
      <c r="F15" s="8">
        <v>45441</v>
      </c>
      <c r="G15" s="6"/>
      <c r="H15" s="6">
        <f t="shared" si="0"/>
        <v>177</v>
      </c>
      <c r="I15" s="6" t="str">
        <f t="shared" si="1"/>
        <v>D</v>
      </c>
      <c r="J15" s="10">
        <f t="shared" si="2"/>
        <v>0.59</v>
      </c>
      <c r="K15" s="15" t="str">
        <f>IF(AND(C15&gt;=80, D15&gt;=80),"YES","NO")</f>
        <v>NO</v>
      </c>
      <c r="M15" s="6"/>
      <c r="N15" s="6"/>
      <c r="O15" s="6"/>
      <c r="P15" s="6"/>
      <c r="Q15" s="6"/>
      <c r="R15" s="6"/>
      <c r="S15" s="6"/>
      <c r="T15" s="6"/>
      <c r="U15" s="6"/>
      <c r="V15" s="6"/>
      <c r="W15" s="6"/>
      <c r="X15" s="6"/>
      <c r="Y15" s="6"/>
      <c r="Z15" s="6"/>
    </row>
    <row r="16" spans="1:26" ht="14.4">
      <c r="A16" s="7">
        <v>1015</v>
      </c>
      <c r="B16" s="7" t="s">
        <v>61</v>
      </c>
      <c r="C16" s="7">
        <v>70</v>
      </c>
      <c r="D16" s="7">
        <v>51</v>
      </c>
      <c r="E16" s="7">
        <v>75</v>
      </c>
      <c r="F16" s="8">
        <v>45621</v>
      </c>
      <c r="G16" s="6"/>
      <c r="H16" s="6">
        <f t="shared" si="0"/>
        <v>196</v>
      </c>
      <c r="I16" s="6" t="str">
        <f t="shared" si="1"/>
        <v>C</v>
      </c>
      <c r="J16" s="10">
        <f t="shared" si="2"/>
        <v>0.65333333333333332</v>
      </c>
      <c r="K16" s="15" t="str">
        <f>IF(AND(C16&gt;=80, D16&gt;=80),"YES","NO")</f>
        <v>NO</v>
      </c>
      <c r="M16" s="6"/>
      <c r="N16" s="6"/>
      <c r="O16" s="6"/>
      <c r="P16" s="6"/>
      <c r="Q16" s="6"/>
      <c r="R16" s="6"/>
      <c r="S16" s="6"/>
      <c r="T16" s="6"/>
      <c r="U16" s="6"/>
      <c r="V16" s="6"/>
      <c r="W16" s="6"/>
      <c r="X16" s="6"/>
      <c r="Y16" s="6"/>
      <c r="Z16" s="6"/>
    </row>
    <row r="17" spans="1:26" ht="14.4">
      <c r="A17" s="7">
        <v>1016</v>
      </c>
      <c r="B17" s="7" t="s">
        <v>62</v>
      </c>
      <c r="C17" s="7">
        <v>98</v>
      </c>
      <c r="D17" s="7">
        <v>77</v>
      </c>
      <c r="E17" s="7">
        <v>60</v>
      </c>
      <c r="F17" s="8">
        <v>45801</v>
      </c>
      <c r="G17" s="6"/>
      <c r="H17" s="6">
        <f t="shared" si="0"/>
        <v>235</v>
      </c>
      <c r="I17" s="6" t="str">
        <f t="shared" si="1"/>
        <v>B</v>
      </c>
      <c r="J17" s="10">
        <f t="shared" si="2"/>
        <v>0.78333333333333333</v>
      </c>
      <c r="K17" s="15" t="str">
        <f>IF(AND(C17&gt;=80, D17&gt;=80),"YES","NO")</f>
        <v>NO</v>
      </c>
      <c r="M17" s="6"/>
      <c r="N17" s="6"/>
      <c r="O17" s="6"/>
      <c r="P17" s="6"/>
      <c r="Q17" s="6"/>
      <c r="R17" s="6"/>
      <c r="S17" s="6"/>
      <c r="T17" s="6"/>
      <c r="U17" s="6"/>
      <c r="V17" s="6"/>
      <c r="W17" s="6"/>
      <c r="X17" s="6"/>
      <c r="Y17" s="6"/>
      <c r="Z17" s="6"/>
    </row>
    <row r="18" spans="1:26" ht="14.4">
      <c r="A18" s="7">
        <v>1017</v>
      </c>
      <c r="B18" s="7" t="s">
        <v>63</v>
      </c>
      <c r="C18" s="7">
        <v>66</v>
      </c>
      <c r="D18" s="7">
        <v>59</v>
      </c>
      <c r="E18" s="7">
        <v>40</v>
      </c>
      <c r="F18" s="8">
        <v>45981</v>
      </c>
      <c r="G18" s="6"/>
      <c r="H18" s="6">
        <f t="shared" si="0"/>
        <v>165</v>
      </c>
      <c r="I18" s="6" t="str">
        <f t="shared" si="1"/>
        <v>D</v>
      </c>
      <c r="J18" s="10">
        <f t="shared" si="2"/>
        <v>0.55000000000000004</v>
      </c>
      <c r="K18" s="15" t="str">
        <f>IF(AND(C18&gt;=80, D18&gt;=80),"YES","NO")</f>
        <v>NO</v>
      </c>
      <c r="M18" s="6"/>
      <c r="N18" s="6"/>
      <c r="O18" s="6"/>
      <c r="P18" s="6"/>
      <c r="Q18" s="6"/>
      <c r="R18" s="6"/>
      <c r="S18" s="6"/>
      <c r="T18" s="6"/>
      <c r="U18" s="6"/>
      <c r="V18" s="6"/>
      <c r="W18" s="6"/>
      <c r="X18" s="6"/>
      <c r="Y18" s="6"/>
      <c r="Z18" s="6"/>
    </row>
    <row r="19" spans="1:26" ht="14.4">
      <c r="A19" s="7">
        <v>1018</v>
      </c>
      <c r="B19" s="7" t="s">
        <v>64</v>
      </c>
      <c r="C19" s="7">
        <v>82</v>
      </c>
      <c r="D19" s="7">
        <v>48</v>
      </c>
      <c r="E19" s="7">
        <v>79</v>
      </c>
      <c r="F19" s="8">
        <v>46161</v>
      </c>
      <c r="G19" s="6"/>
      <c r="H19" s="6">
        <f t="shared" si="0"/>
        <v>209</v>
      </c>
      <c r="I19" s="6" t="str">
        <f t="shared" si="1"/>
        <v>C</v>
      </c>
      <c r="J19" s="10">
        <f t="shared" si="2"/>
        <v>0.69666666666666666</v>
      </c>
      <c r="K19" s="15" t="str">
        <f>IF(AND(C19&gt;=80, D19&gt;=80),"YES","NO")</f>
        <v>NO</v>
      </c>
      <c r="M19" s="6"/>
      <c r="N19" s="6"/>
      <c r="O19" s="6"/>
      <c r="P19" s="6"/>
      <c r="Q19" s="6"/>
      <c r="R19" s="6"/>
      <c r="S19" s="6"/>
      <c r="T19" s="6"/>
      <c r="U19" s="6"/>
      <c r="V19" s="6"/>
      <c r="W19" s="6"/>
      <c r="X19" s="6"/>
      <c r="Y19" s="6"/>
      <c r="Z19" s="6"/>
    </row>
    <row r="20" spans="1:26" ht="14.4">
      <c r="A20" s="7">
        <v>1019</v>
      </c>
      <c r="B20" s="7" t="s">
        <v>65</v>
      </c>
      <c r="C20" s="7">
        <v>90</v>
      </c>
      <c r="D20" s="7">
        <v>78</v>
      </c>
      <c r="E20" s="7">
        <v>60</v>
      </c>
      <c r="F20" s="8">
        <v>46341</v>
      </c>
      <c r="G20" s="6"/>
      <c r="H20" s="6">
        <f t="shared" si="0"/>
        <v>228</v>
      </c>
      <c r="I20" s="6" t="str">
        <f t="shared" si="1"/>
        <v>B</v>
      </c>
      <c r="J20" s="10">
        <f t="shared" si="2"/>
        <v>0.76</v>
      </c>
      <c r="K20" s="15" t="str">
        <f>IF(AND(C20&gt;=80, D20&gt;=80),"YES","NO")</f>
        <v>NO</v>
      </c>
      <c r="M20" s="6"/>
      <c r="N20" s="6"/>
      <c r="O20" s="6"/>
      <c r="P20" s="6"/>
      <c r="Q20" s="6"/>
      <c r="R20" s="6"/>
      <c r="S20" s="6"/>
      <c r="T20" s="6"/>
      <c r="U20" s="6"/>
      <c r="V20" s="6"/>
      <c r="W20" s="6"/>
      <c r="X20" s="6"/>
      <c r="Y20" s="6"/>
      <c r="Z20" s="6"/>
    </row>
    <row r="21" spans="1:26" ht="15.75" customHeight="1">
      <c r="A21" s="7">
        <v>1020</v>
      </c>
      <c r="B21" s="7" t="s">
        <v>66</v>
      </c>
      <c r="C21" s="7">
        <v>83</v>
      </c>
      <c r="D21" s="7">
        <v>92</v>
      </c>
      <c r="E21" s="7">
        <v>55</v>
      </c>
      <c r="F21" s="8">
        <v>46521</v>
      </c>
      <c r="G21" s="6"/>
      <c r="H21" s="6">
        <f t="shared" si="0"/>
        <v>230</v>
      </c>
      <c r="I21" s="6" t="str">
        <f t="shared" si="1"/>
        <v>B</v>
      </c>
      <c r="J21" s="10">
        <f t="shared" si="2"/>
        <v>0.76666666666666672</v>
      </c>
      <c r="K21" s="15" t="str">
        <f>IF(AND(C21&gt;=80, D21&gt;=80),"YES","NO")</f>
        <v>YES</v>
      </c>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3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M23" s="6"/>
      <c r="N23" s="6"/>
      <c r="O23" s="6"/>
      <c r="P23" s="6"/>
      <c r="Q23" s="6"/>
      <c r="R23" s="6"/>
      <c r="S23" s="6"/>
      <c r="T23" s="6"/>
      <c r="U23" s="6"/>
      <c r="V23" s="6"/>
      <c r="W23" s="6"/>
      <c r="X23" s="6"/>
      <c r="Y23" s="6"/>
      <c r="Z23" s="6"/>
    </row>
    <row r="24" spans="1:26" ht="37.200000000000003" customHeight="1">
      <c r="A24" s="34" t="s">
        <v>133</v>
      </c>
      <c r="B24" s="34"/>
      <c r="C24" s="6"/>
      <c r="D24" s="34" t="s">
        <v>135</v>
      </c>
      <c r="E24" s="34"/>
      <c r="F24" s="6"/>
      <c r="G24" s="34" t="s">
        <v>136</v>
      </c>
      <c r="H24" s="34"/>
      <c r="I24" s="6"/>
      <c r="J24" s="31" t="s">
        <v>137</v>
      </c>
      <c r="K24" s="32"/>
      <c r="L24" s="32"/>
      <c r="M24" s="32"/>
      <c r="N24" s="6"/>
      <c r="O24" s="6"/>
      <c r="P24" s="6"/>
      <c r="Q24" s="6"/>
      <c r="R24" s="6"/>
      <c r="S24" s="6"/>
      <c r="T24" s="6"/>
      <c r="U24" s="6"/>
      <c r="V24" s="6"/>
      <c r="W24" s="6"/>
      <c r="X24" s="6"/>
      <c r="Y24" s="6"/>
      <c r="Z24" s="6"/>
    </row>
    <row r="25" spans="1:26" ht="15.75" customHeight="1">
      <c r="A25" s="33">
        <f ca="1">COUNTIFS(J:J,"&gt;0.6")</f>
        <v>16</v>
      </c>
      <c r="B25" s="33"/>
      <c r="C25" s="6"/>
      <c r="D25" s="33">
        <f>COUNTIFS(C2:C21,"&gt;50")</f>
        <v>19</v>
      </c>
      <c r="E25" s="33"/>
      <c r="F25" s="6"/>
      <c r="G25" s="35">
        <f>AVERAGEIF(J2:J21,"&gt;0.6")</f>
        <v>0.73625000000000007</v>
      </c>
      <c r="H25" s="35"/>
      <c r="I25" s="6"/>
      <c r="J25" s="16" cm="1">
        <f t="array" aca="1" ref="J25:M26" ca="1">_xlfn._xlws.FILTER(CHOOSE({1,2,3,4}, A2:A100, B2:B100, J2:J100, I2:I100), J2:J100&gt;0.8, "No students above 80%")</f>
        <v>1012</v>
      </c>
      <c r="K25" s="16" t="str">
        <f ca="1"/>
        <v>Student 12</v>
      </c>
      <c r="L25" s="37">
        <f ca="1"/>
        <v>0.84333333333333338</v>
      </c>
      <c r="M25" s="16" t="str">
        <f ca="1"/>
        <v>B</v>
      </c>
      <c r="N25" s="6"/>
      <c r="O25" s="6"/>
      <c r="P25" s="6"/>
      <c r="Q25" s="6"/>
      <c r="R25" s="6"/>
      <c r="S25" s="6"/>
      <c r="T25" s="6"/>
      <c r="U25" s="6"/>
      <c r="V25" s="6"/>
      <c r="W25" s="6"/>
      <c r="X25" s="6"/>
      <c r="Y25" s="6"/>
      <c r="Z25" s="6"/>
    </row>
    <row r="26" spans="1:26" ht="15.75" customHeight="1">
      <c r="A26" s="6"/>
      <c r="B26" s="6"/>
      <c r="C26" s="6"/>
      <c r="D26" s="6"/>
      <c r="E26" s="6"/>
      <c r="F26" s="6"/>
      <c r="G26" s="6"/>
      <c r="H26" s="6"/>
      <c r="I26" s="6"/>
      <c r="J26" s="16">
        <f ca="1"/>
        <v>1013</v>
      </c>
      <c r="K26" s="16" t="str">
        <f ca="1"/>
        <v>Student 13</v>
      </c>
      <c r="L26" s="37">
        <f ca="1"/>
        <v>0.95</v>
      </c>
      <c r="M26" s="16" t="str">
        <f ca="1"/>
        <v>A</v>
      </c>
      <c r="N26" s="6"/>
      <c r="O26" s="6"/>
      <c r="P26" s="6"/>
      <c r="Q26" s="6"/>
      <c r="R26" s="6"/>
      <c r="S26" s="6"/>
      <c r="T26" s="6"/>
      <c r="U26" s="6"/>
      <c r="V26" s="6"/>
      <c r="W26" s="6"/>
      <c r="X26" s="6"/>
      <c r="Y26" s="6"/>
      <c r="Z26" s="6"/>
    </row>
    <row r="27" spans="1:26" ht="15.75" customHeight="1">
      <c r="B27" s="6"/>
      <c r="C27" s="6"/>
      <c r="D27" s="6"/>
      <c r="E27" s="6"/>
      <c r="F27" s="6"/>
      <c r="G27" s="6"/>
      <c r="H27" s="6"/>
      <c r="I27" s="6"/>
      <c r="J27" s="6"/>
      <c r="K27" s="6"/>
      <c r="M27" s="6"/>
      <c r="N27" s="6"/>
      <c r="O27" s="6"/>
      <c r="P27" s="6"/>
      <c r="Q27" s="6"/>
      <c r="R27" s="6"/>
      <c r="S27" s="6"/>
      <c r="T27" s="6"/>
      <c r="U27" s="6"/>
      <c r="V27" s="6"/>
      <c r="W27" s="6"/>
      <c r="X27" s="6"/>
      <c r="Y27" s="6"/>
      <c r="Z27" s="6"/>
    </row>
    <row r="28" spans="1:26" ht="15.75" customHeight="1">
      <c r="B28" s="6"/>
      <c r="C28" s="6"/>
      <c r="D28" s="6"/>
      <c r="E28" s="6"/>
      <c r="F28" s="6"/>
      <c r="G28" s="6"/>
      <c r="H28" s="6"/>
      <c r="I28" s="6"/>
      <c r="J28" s="6"/>
      <c r="K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M29" s="6"/>
      <c r="N29" s="6"/>
      <c r="O29" s="6"/>
      <c r="P29" s="6"/>
      <c r="Q29" s="6"/>
      <c r="R29" s="6"/>
      <c r="S29" s="6"/>
      <c r="T29" s="6"/>
      <c r="U29" s="6"/>
      <c r="V29" s="6"/>
      <c r="W29" s="6"/>
      <c r="X29" s="6"/>
      <c r="Y29" s="6"/>
      <c r="Z29" s="6"/>
    </row>
    <row r="30" spans="1:26" ht="15.75" customHeight="1">
      <c r="B30" s="6"/>
      <c r="C30" s="6"/>
      <c r="D30" s="6"/>
      <c r="E30" s="6"/>
      <c r="F30" s="6"/>
      <c r="G30" s="6"/>
      <c r="H30" s="6"/>
      <c r="I30" s="6"/>
      <c r="J30" s="6"/>
      <c r="K30" s="6"/>
      <c r="M30" s="6"/>
      <c r="N30" s="6"/>
      <c r="O30" s="6"/>
      <c r="P30" s="6"/>
      <c r="Q30" s="6"/>
      <c r="R30" s="6"/>
      <c r="S30" s="6"/>
      <c r="T30" s="6"/>
      <c r="U30" s="6"/>
      <c r="V30" s="6"/>
      <c r="W30" s="6"/>
      <c r="X30" s="6"/>
      <c r="Y30" s="6"/>
      <c r="Z30" s="6"/>
    </row>
    <row r="31" spans="1:26" ht="15.75" customHeight="1">
      <c r="B31" s="6"/>
      <c r="C31" s="6"/>
      <c r="D31" s="6"/>
      <c r="E31" s="6"/>
      <c r="F31" s="6"/>
      <c r="G31" s="6"/>
      <c r="H31" s="6"/>
      <c r="I31" s="6"/>
      <c r="J31" s="6"/>
      <c r="K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M1000" s="6"/>
      <c r="N1000" s="6"/>
      <c r="O1000" s="6"/>
      <c r="P1000" s="6"/>
      <c r="Q1000" s="6"/>
      <c r="R1000" s="6"/>
      <c r="S1000" s="6"/>
      <c r="T1000" s="6"/>
      <c r="U1000" s="6"/>
      <c r="V1000" s="6"/>
      <c r="W1000" s="6"/>
      <c r="X1000" s="6"/>
      <c r="Y1000" s="6"/>
      <c r="Z1000" s="6"/>
    </row>
  </sheetData>
  <mergeCells count="7">
    <mergeCell ref="J24:M24"/>
    <mergeCell ref="A24:B24"/>
    <mergeCell ref="A25:B25"/>
    <mergeCell ref="D24:E24"/>
    <mergeCell ref="D25:E25"/>
    <mergeCell ref="G24:H24"/>
    <mergeCell ref="G25:H25"/>
  </mergeCells>
  <pageMargins left="0.75" right="0.75" top="1" bottom="1" header="0" footer="0"/>
  <pageSetup orientation="landscape"/>
  <ignoredErrors>
    <ignoredError sqref="H2:H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 zoomScale="96" workbookViewId="0">
      <selection activeCell="J13" sqref="J13"/>
    </sheetView>
  </sheetViews>
  <sheetFormatPr defaultColWidth="14.44140625" defaultRowHeight="15" customHeight="1"/>
  <cols>
    <col min="1" max="1" width="7.88671875" customWidth="1"/>
    <col min="2" max="2" width="10.5546875" customWidth="1"/>
    <col min="3" max="3" width="7.109375" customWidth="1"/>
    <col min="4" max="4" width="11.5546875" customWidth="1"/>
    <col min="5" max="5" width="8.109375" customWidth="1"/>
    <col min="6" max="6" width="18.88671875" customWidth="1"/>
    <col min="7" max="8" width="8.6640625" customWidth="1"/>
    <col min="9" max="9" width="17.33203125" customWidth="1"/>
    <col min="10" max="10" width="17.5546875" customWidth="1"/>
    <col min="11" max="11" width="11.109375" customWidth="1"/>
    <col min="12" max="12" width="17.21875" customWidth="1"/>
    <col min="13" max="13" width="14.77734375" customWidth="1"/>
    <col min="14" max="26" width="8.6640625" customWidth="1"/>
  </cols>
  <sheetData>
    <row r="1" spans="1:26" ht="12.6" customHeight="1">
      <c r="A1" s="5" t="s">
        <v>67</v>
      </c>
      <c r="B1" s="5" t="s">
        <v>68</v>
      </c>
      <c r="C1" s="5" t="s">
        <v>69</v>
      </c>
      <c r="D1" s="5" t="s">
        <v>70</v>
      </c>
      <c r="E1" s="5" t="s">
        <v>71</v>
      </c>
      <c r="F1" s="5" t="s">
        <v>72</v>
      </c>
      <c r="G1" s="6"/>
      <c r="H1" s="18" t="s">
        <v>138</v>
      </c>
      <c r="I1" s="18" t="s">
        <v>139</v>
      </c>
      <c r="J1" s="26" t="s">
        <v>142</v>
      </c>
      <c r="K1" s="6"/>
      <c r="L1" s="18" t="s">
        <v>157</v>
      </c>
      <c r="M1" s="18" t="s">
        <v>158</v>
      </c>
      <c r="N1" s="18" t="s">
        <v>159</v>
      </c>
      <c r="O1" s="6"/>
      <c r="P1" s="6"/>
      <c r="Q1" s="6"/>
      <c r="R1" s="6"/>
      <c r="S1" s="6"/>
      <c r="T1" s="6"/>
      <c r="U1" s="6"/>
      <c r="V1" s="6"/>
      <c r="W1" s="6"/>
      <c r="X1" s="6"/>
      <c r="Y1" s="6"/>
      <c r="Z1" s="6"/>
    </row>
    <row r="2" spans="1:26" ht="14.4">
      <c r="A2" s="7">
        <v>2001</v>
      </c>
      <c r="B2" s="7" t="s">
        <v>73</v>
      </c>
      <c r="C2" s="7" t="s">
        <v>74</v>
      </c>
      <c r="D2" s="7" t="s">
        <v>75</v>
      </c>
      <c r="E2" s="7">
        <v>7048</v>
      </c>
      <c r="F2" s="8">
        <v>44927</v>
      </c>
      <c r="G2" s="6"/>
      <c r="H2" s="10">
        <f>IF(E2&gt;=40000,0.2,IF(E2&gt;=30000,0.15,IF(E2&gt;=15000,0.1,0)))</f>
        <v>0</v>
      </c>
      <c r="I2" s="6" t="str">
        <f>IF(OR(E2&gt;=30000,E2&gt;=10000),"Eligible","Not Eligible")</f>
        <v>Not Eligible</v>
      </c>
      <c r="J2" t="str">
        <f>TEXT(F2, "MMM-YYYY")</f>
        <v>Jan-2023</v>
      </c>
      <c r="K2" s="6"/>
      <c r="L2" s="6">
        <f>ROUND(E2, -1)</f>
        <v>7050</v>
      </c>
      <c r="M2" s="6">
        <f>CEILING(E2, 100)</f>
        <v>7100</v>
      </c>
      <c r="N2" s="6">
        <f>FLOOR(E2, 100)</f>
        <v>7000</v>
      </c>
      <c r="O2" s="6"/>
      <c r="P2" s="6"/>
      <c r="Q2" s="6"/>
      <c r="R2" s="6"/>
      <c r="S2" s="6"/>
      <c r="T2" s="6"/>
      <c r="U2" s="6"/>
      <c r="V2" s="6"/>
      <c r="W2" s="6"/>
      <c r="X2" s="6"/>
      <c r="Y2" s="6"/>
      <c r="Z2" s="6"/>
    </row>
    <row r="3" spans="1:26" ht="14.4">
      <c r="A3" s="7">
        <v>2002</v>
      </c>
      <c r="B3" s="7" t="s">
        <v>76</v>
      </c>
      <c r="C3" s="7" t="s">
        <v>77</v>
      </c>
      <c r="D3" s="7" t="s">
        <v>78</v>
      </c>
      <c r="E3" s="7">
        <v>17428</v>
      </c>
      <c r="F3" s="8">
        <v>44942</v>
      </c>
      <c r="G3" s="6"/>
      <c r="H3" s="10">
        <f t="shared" ref="H3:H21" si="0">IF(E3&gt;=40000,0.2,IF(E3&gt;=30000,0.15,IF(E3&gt;=15000,0.1,0)))</f>
        <v>0.1</v>
      </c>
      <c r="I3" s="6" t="str">
        <f t="shared" ref="I3:I21" si="1">IF(OR(E3&gt;=30000,E3&gt;=10000),"Eligible","Not Eligible")</f>
        <v>Eligible</v>
      </c>
      <c r="J3" t="str">
        <f t="shared" ref="J3:J21" si="2">TEXT(F3, "MMM-YYYY")</f>
        <v>Jan-2023</v>
      </c>
      <c r="K3" s="6"/>
      <c r="L3" s="6">
        <f t="shared" ref="L3:L21" si="3">ROUND(E3, -1)</f>
        <v>17430</v>
      </c>
      <c r="M3" s="6">
        <f t="shared" ref="M3:M21" si="4">CEILING(E3, 100)</f>
        <v>17500</v>
      </c>
      <c r="N3" s="6">
        <f t="shared" ref="N3:N21" si="5">FLOOR(E3, 100)</f>
        <v>17400</v>
      </c>
      <c r="O3" s="6"/>
      <c r="P3" s="6"/>
      <c r="Q3" s="6"/>
      <c r="R3" s="6"/>
      <c r="S3" s="6"/>
      <c r="T3" s="6"/>
      <c r="U3" s="6"/>
      <c r="V3" s="6"/>
      <c r="W3" s="6"/>
      <c r="X3" s="6"/>
      <c r="Y3" s="6"/>
      <c r="Z3" s="6"/>
    </row>
    <row r="4" spans="1:26" ht="14.4">
      <c r="A4" s="7">
        <v>2003</v>
      </c>
      <c r="B4" s="7" t="s">
        <v>79</v>
      </c>
      <c r="C4" s="7" t="s">
        <v>74</v>
      </c>
      <c r="D4" s="7" t="s">
        <v>80</v>
      </c>
      <c r="E4" s="7">
        <v>23672</v>
      </c>
      <c r="F4" s="8">
        <v>44957</v>
      </c>
      <c r="G4" s="6"/>
      <c r="H4" s="10">
        <f t="shared" si="0"/>
        <v>0.1</v>
      </c>
      <c r="I4" s="6" t="str">
        <f t="shared" si="1"/>
        <v>Eligible</v>
      </c>
      <c r="J4" t="str">
        <f t="shared" si="2"/>
        <v>Jan-2023</v>
      </c>
      <c r="K4" s="6"/>
      <c r="L4" s="6">
        <f t="shared" si="3"/>
        <v>23670</v>
      </c>
      <c r="M4" s="6">
        <f t="shared" si="4"/>
        <v>23700</v>
      </c>
      <c r="N4" s="6">
        <f t="shared" si="5"/>
        <v>23600</v>
      </c>
      <c r="O4" s="6"/>
      <c r="P4" s="6"/>
      <c r="Q4" s="6"/>
      <c r="R4" s="6"/>
      <c r="S4" s="6"/>
      <c r="T4" s="6"/>
      <c r="U4" s="6"/>
      <c r="V4" s="6"/>
      <c r="W4" s="6"/>
      <c r="X4" s="6"/>
      <c r="Y4" s="6"/>
      <c r="Z4" s="6"/>
    </row>
    <row r="5" spans="1:26" ht="14.4">
      <c r="A5" s="7">
        <v>2004</v>
      </c>
      <c r="B5" s="7" t="s">
        <v>76</v>
      </c>
      <c r="C5" s="7" t="s">
        <v>81</v>
      </c>
      <c r="D5" s="7" t="s">
        <v>82</v>
      </c>
      <c r="E5" s="7">
        <v>5264</v>
      </c>
      <c r="F5" s="8">
        <v>44972</v>
      </c>
      <c r="G5" s="6"/>
      <c r="H5" s="10">
        <f t="shared" si="0"/>
        <v>0</v>
      </c>
      <c r="I5" s="6" t="str">
        <f t="shared" si="1"/>
        <v>Not Eligible</v>
      </c>
      <c r="J5" t="str">
        <f t="shared" si="2"/>
        <v>Feb-2023</v>
      </c>
      <c r="K5" s="6"/>
      <c r="L5" s="6">
        <f t="shared" si="3"/>
        <v>5260</v>
      </c>
      <c r="M5" s="6">
        <f t="shared" si="4"/>
        <v>5300</v>
      </c>
      <c r="N5" s="6">
        <f t="shared" si="5"/>
        <v>5200</v>
      </c>
      <c r="O5" s="6"/>
      <c r="P5" s="6"/>
      <c r="Q5" s="6"/>
      <c r="R5" s="6"/>
      <c r="S5" s="6"/>
      <c r="T5" s="6"/>
      <c r="U5" s="6"/>
      <c r="V5" s="6"/>
      <c r="W5" s="6"/>
      <c r="X5" s="6"/>
      <c r="Y5" s="6"/>
      <c r="Z5" s="6"/>
    </row>
    <row r="6" spans="1:26" ht="14.4">
      <c r="A6" s="7">
        <v>2005</v>
      </c>
      <c r="B6" s="7" t="s">
        <v>73</v>
      </c>
      <c r="C6" s="7" t="s">
        <v>83</v>
      </c>
      <c r="D6" s="7" t="s">
        <v>84</v>
      </c>
      <c r="E6" s="7">
        <v>43388</v>
      </c>
      <c r="F6" s="8">
        <v>44987</v>
      </c>
      <c r="G6" s="6"/>
      <c r="H6" s="10">
        <f t="shared" si="0"/>
        <v>0.2</v>
      </c>
      <c r="I6" s="6" t="str">
        <f t="shared" si="1"/>
        <v>Eligible</v>
      </c>
      <c r="J6" t="str">
        <f t="shared" si="2"/>
        <v>Mar-2023</v>
      </c>
      <c r="K6" s="6"/>
      <c r="L6" s="6">
        <f t="shared" si="3"/>
        <v>43390</v>
      </c>
      <c r="M6" s="6">
        <f t="shared" si="4"/>
        <v>43400</v>
      </c>
      <c r="N6" s="6">
        <f t="shared" si="5"/>
        <v>43300</v>
      </c>
      <c r="O6" s="6"/>
      <c r="P6" s="6"/>
      <c r="Q6" s="6"/>
      <c r="R6" s="6"/>
      <c r="S6" s="6"/>
      <c r="T6" s="6"/>
      <c r="U6" s="6"/>
      <c r="V6" s="6"/>
      <c r="W6" s="6"/>
      <c r="X6" s="6"/>
      <c r="Y6" s="6"/>
      <c r="Z6" s="6"/>
    </row>
    <row r="7" spans="1:26" ht="14.4">
      <c r="A7" s="7">
        <v>2006</v>
      </c>
      <c r="B7" s="7" t="s">
        <v>79</v>
      </c>
      <c r="C7" s="7" t="s">
        <v>83</v>
      </c>
      <c r="D7" s="7" t="s">
        <v>85</v>
      </c>
      <c r="E7" s="7">
        <v>19757</v>
      </c>
      <c r="F7" s="8">
        <v>45002</v>
      </c>
      <c r="G7" s="6"/>
      <c r="H7" s="10">
        <f t="shared" si="0"/>
        <v>0.1</v>
      </c>
      <c r="I7" s="6" t="str">
        <f t="shared" si="1"/>
        <v>Eligible</v>
      </c>
      <c r="J7" t="str">
        <f t="shared" si="2"/>
        <v>Mar-2023</v>
      </c>
      <c r="K7" s="6"/>
      <c r="L7" s="6">
        <f t="shared" si="3"/>
        <v>19760</v>
      </c>
      <c r="M7" s="6">
        <f t="shared" si="4"/>
        <v>19800</v>
      </c>
      <c r="N7" s="6">
        <f t="shared" si="5"/>
        <v>19700</v>
      </c>
      <c r="O7" s="6"/>
      <c r="P7" s="6"/>
      <c r="Q7" s="6"/>
      <c r="R7" s="6"/>
      <c r="S7" s="6"/>
      <c r="T7" s="6"/>
      <c r="U7" s="6"/>
      <c r="V7" s="6"/>
      <c r="W7" s="6"/>
      <c r="X7" s="6"/>
      <c r="Y7" s="6"/>
      <c r="Z7" s="6"/>
    </row>
    <row r="8" spans="1:26" ht="14.4">
      <c r="A8" s="7">
        <v>2007</v>
      </c>
      <c r="B8" s="7" t="s">
        <v>79</v>
      </c>
      <c r="C8" s="7" t="s">
        <v>81</v>
      </c>
      <c r="D8" s="7" t="s">
        <v>86</v>
      </c>
      <c r="E8" s="7">
        <v>32058</v>
      </c>
      <c r="F8" s="8">
        <v>45017</v>
      </c>
      <c r="G8" s="6"/>
      <c r="H8" s="10">
        <f t="shared" si="0"/>
        <v>0.15</v>
      </c>
      <c r="I8" s="6" t="str">
        <f t="shared" si="1"/>
        <v>Eligible</v>
      </c>
      <c r="J8" t="str">
        <f t="shared" si="2"/>
        <v>Apr-2023</v>
      </c>
      <c r="K8" s="6"/>
      <c r="L8" s="6">
        <f t="shared" si="3"/>
        <v>32060</v>
      </c>
      <c r="M8" s="6">
        <f t="shared" si="4"/>
        <v>32100</v>
      </c>
      <c r="N8" s="6">
        <f t="shared" si="5"/>
        <v>32000</v>
      </c>
      <c r="O8" s="6"/>
      <c r="P8" s="6"/>
      <c r="Q8" s="6"/>
      <c r="R8" s="6"/>
      <c r="S8" s="6"/>
      <c r="T8" s="6"/>
      <c r="U8" s="6"/>
      <c r="V8" s="6"/>
      <c r="W8" s="6"/>
      <c r="X8" s="6"/>
      <c r="Y8" s="6"/>
      <c r="Z8" s="6"/>
    </row>
    <row r="9" spans="1:26" ht="14.4">
      <c r="A9" s="7">
        <v>2008</v>
      </c>
      <c r="B9" s="7" t="s">
        <v>73</v>
      </c>
      <c r="C9" s="7" t="s">
        <v>81</v>
      </c>
      <c r="D9" s="7" t="s">
        <v>87</v>
      </c>
      <c r="E9" s="7">
        <v>46429</v>
      </c>
      <c r="F9" s="8">
        <v>45032</v>
      </c>
      <c r="G9" s="6"/>
      <c r="H9" s="10">
        <f t="shared" si="0"/>
        <v>0.2</v>
      </c>
      <c r="I9" s="6" t="str">
        <f t="shared" si="1"/>
        <v>Eligible</v>
      </c>
      <c r="J9" t="str">
        <f t="shared" si="2"/>
        <v>Apr-2023</v>
      </c>
      <c r="K9" s="6"/>
      <c r="L9" s="6">
        <f t="shared" si="3"/>
        <v>46430</v>
      </c>
      <c r="M9" s="6">
        <f t="shared" si="4"/>
        <v>46500</v>
      </c>
      <c r="N9" s="6">
        <f t="shared" si="5"/>
        <v>46400</v>
      </c>
      <c r="O9" s="6"/>
      <c r="P9" s="6"/>
      <c r="Q9" s="6"/>
      <c r="R9" s="6"/>
      <c r="S9" s="6"/>
      <c r="T9" s="6"/>
      <c r="U9" s="6"/>
      <c r="V9" s="6"/>
      <c r="W9" s="6"/>
      <c r="X9" s="6"/>
      <c r="Y9" s="6"/>
      <c r="Z9" s="6"/>
    </row>
    <row r="10" spans="1:26" ht="14.4">
      <c r="A10" s="7">
        <v>2009</v>
      </c>
      <c r="B10" s="7" t="s">
        <v>76</v>
      </c>
      <c r="C10" s="7" t="s">
        <v>81</v>
      </c>
      <c r="D10" s="7" t="s">
        <v>88</v>
      </c>
      <c r="E10" s="7">
        <v>19746</v>
      </c>
      <c r="F10" s="8">
        <v>45047</v>
      </c>
      <c r="G10" s="6"/>
      <c r="H10" s="10">
        <f t="shared" si="0"/>
        <v>0.1</v>
      </c>
      <c r="I10" s="6" t="str">
        <f t="shared" si="1"/>
        <v>Eligible</v>
      </c>
      <c r="J10" t="str">
        <f t="shared" si="2"/>
        <v>May-2023</v>
      </c>
      <c r="K10" s="6"/>
      <c r="L10" s="6">
        <f t="shared" si="3"/>
        <v>19750</v>
      </c>
      <c r="M10" s="6">
        <f t="shared" si="4"/>
        <v>19800</v>
      </c>
      <c r="N10" s="6">
        <f t="shared" si="5"/>
        <v>19700</v>
      </c>
      <c r="O10" s="6"/>
      <c r="P10" s="6"/>
      <c r="Q10" s="6"/>
      <c r="R10" s="6"/>
      <c r="S10" s="6"/>
      <c r="T10" s="6"/>
      <c r="U10" s="6"/>
      <c r="V10" s="6"/>
      <c r="W10" s="6"/>
      <c r="X10" s="6"/>
      <c r="Y10" s="6"/>
      <c r="Z10" s="6"/>
    </row>
    <row r="11" spans="1:26" ht="14.4">
      <c r="A11" s="7">
        <v>2010</v>
      </c>
      <c r="B11" s="7" t="s">
        <v>73</v>
      </c>
      <c r="C11" s="7" t="s">
        <v>74</v>
      </c>
      <c r="D11" s="7" t="s">
        <v>89</v>
      </c>
      <c r="E11" s="7">
        <v>35185</v>
      </c>
      <c r="F11" s="8">
        <v>45062</v>
      </c>
      <c r="G11" s="6"/>
      <c r="H11" s="10">
        <f t="shared" si="0"/>
        <v>0.15</v>
      </c>
      <c r="I11" s="6" t="str">
        <f t="shared" si="1"/>
        <v>Eligible</v>
      </c>
      <c r="J11" t="str">
        <f t="shared" si="2"/>
        <v>May-2023</v>
      </c>
      <c r="K11" s="6"/>
      <c r="L11" s="6">
        <f t="shared" si="3"/>
        <v>35190</v>
      </c>
      <c r="M11" s="6">
        <f t="shared" si="4"/>
        <v>35200</v>
      </c>
      <c r="N11" s="6">
        <f t="shared" si="5"/>
        <v>35100</v>
      </c>
      <c r="O11" s="6"/>
      <c r="P11" s="6"/>
      <c r="Q11" s="6"/>
      <c r="R11" s="6"/>
      <c r="S11" s="6"/>
      <c r="T11" s="6"/>
      <c r="U11" s="6"/>
      <c r="V11" s="6"/>
      <c r="W11" s="6"/>
      <c r="X11" s="6"/>
      <c r="Y11" s="6"/>
      <c r="Z11" s="6"/>
    </row>
    <row r="12" spans="1:26" ht="14.4">
      <c r="A12" s="7">
        <v>2011</v>
      </c>
      <c r="B12" s="7" t="s">
        <v>73</v>
      </c>
      <c r="C12" s="7" t="s">
        <v>81</v>
      </c>
      <c r="D12" s="7" t="s">
        <v>90</v>
      </c>
      <c r="E12" s="7">
        <v>33920</v>
      </c>
      <c r="F12" s="8">
        <v>45077</v>
      </c>
      <c r="G12" s="6"/>
      <c r="H12" s="10">
        <f t="shared" si="0"/>
        <v>0.15</v>
      </c>
      <c r="I12" s="6" t="str">
        <f t="shared" si="1"/>
        <v>Eligible</v>
      </c>
      <c r="J12" t="str">
        <f t="shared" si="2"/>
        <v>May-2023</v>
      </c>
      <c r="K12" s="6"/>
      <c r="L12" s="6">
        <f t="shared" si="3"/>
        <v>33920</v>
      </c>
      <c r="M12" s="6">
        <f t="shared" si="4"/>
        <v>34000</v>
      </c>
      <c r="N12" s="6">
        <f t="shared" si="5"/>
        <v>33900</v>
      </c>
      <c r="O12" s="6"/>
      <c r="P12" s="6"/>
      <c r="Q12" s="6"/>
      <c r="R12" s="6"/>
      <c r="S12" s="6"/>
      <c r="T12" s="6"/>
      <c r="U12" s="6"/>
      <c r="V12" s="6"/>
      <c r="W12" s="6"/>
      <c r="X12" s="6"/>
      <c r="Y12" s="6"/>
      <c r="Z12" s="6"/>
    </row>
    <row r="13" spans="1:26" ht="14.4">
      <c r="A13" s="7">
        <v>2012</v>
      </c>
      <c r="B13" s="7" t="s">
        <v>91</v>
      </c>
      <c r="C13" s="7" t="s">
        <v>83</v>
      </c>
      <c r="D13" s="7" t="s">
        <v>92</v>
      </c>
      <c r="E13" s="7">
        <v>35611</v>
      </c>
      <c r="F13" s="8">
        <v>45092</v>
      </c>
      <c r="G13" s="6"/>
      <c r="H13" s="10">
        <f t="shared" si="0"/>
        <v>0.15</v>
      </c>
      <c r="I13" s="6" t="str">
        <f t="shared" si="1"/>
        <v>Eligible</v>
      </c>
      <c r="J13" t="str">
        <f t="shared" si="2"/>
        <v>Jun-2023</v>
      </c>
      <c r="K13" s="6"/>
      <c r="L13" s="6">
        <f t="shared" si="3"/>
        <v>35610</v>
      </c>
      <c r="M13" s="6">
        <f t="shared" si="4"/>
        <v>35700</v>
      </c>
      <c r="N13" s="6">
        <f t="shared" si="5"/>
        <v>35600</v>
      </c>
      <c r="O13" s="6"/>
      <c r="P13" s="6"/>
      <c r="Q13" s="6"/>
      <c r="R13" s="6"/>
      <c r="S13" s="6"/>
      <c r="T13" s="6"/>
      <c r="U13" s="6"/>
      <c r="V13" s="6"/>
      <c r="W13" s="6"/>
      <c r="X13" s="6"/>
      <c r="Y13" s="6"/>
      <c r="Z13" s="6"/>
    </row>
    <row r="14" spans="1:26" ht="14.4">
      <c r="A14" s="7">
        <v>2013</v>
      </c>
      <c r="B14" s="7" t="s">
        <v>93</v>
      </c>
      <c r="C14" s="7" t="s">
        <v>81</v>
      </c>
      <c r="D14" s="7" t="s">
        <v>94</v>
      </c>
      <c r="E14" s="7">
        <v>15560</v>
      </c>
      <c r="F14" s="8">
        <v>45107</v>
      </c>
      <c r="G14" s="6"/>
      <c r="H14" s="10">
        <f t="shared" si="0"/>
        <v>0.1</v>
      </c>
      <c r="I14" s="6" t="str">
        <f t="shared" si="1"/>
        <v>Eligible</v>
      </c>
      <c r="J14" t="str">
        <f t="shared" si="2"/>
        <v>Jun-2023</v>
      </c>
      <c r="K14" s="6"/>
      <c r="L14" s="6">
        <f t="shared" si="3"/>
        <v>15560</v>
      </c>
      <c r="M14" s="6">
        <f t="shared" si="4"/>
        <v>15600</v>
      </c>
      <c r="N14" s="6">
        <f t="shared" si="5"/>
        <v>15500</v>
      </c>
      <c r="O14" s="6"/>
      <c r="P14" s="6"/>
      <c r="Q14" s="6"/>
      <c r="R14" s="6"/>
      <c r="S14" s="6"/>
      <c r="T14" s="6"/>
      <c r="U14" s="6"/>
      <c r="V14" s="6"/>
      <c r="W14" s="6"/>
      <c r="X14" s="6"/>
      <c r="Y14" s="6"/>
      <c r="Z14" s="6"/>
    </row>
    <row r="15" spans="1:26" ht="14.4">
      <c r="A15" s="7">
        <v>2014</v>
      </c>
      <c r="B15" s="7" t="s">
        <v>93</v>
      </c>
      <c r="C15" s="7" t="s">
        <v>74</v>
      </c>
      <c r="D15" s="7" t="s">
        <v>95</v>
      </c>
      <c r="E15" s="7">
        <v>7283</v>
      </c>
      <c r="F15" s="8">
        <v>45122</v>
      </c>
      <c r="G15" s="6"/>
      <c r="H15" s="10">
        <f t="shared" si="0"/>
        <v>0</v>
      </c>
      <c r="I15" s="6" t="str">
        <f t="shared" si="1"/>
        <v>Not Eligible</v>
      </c>
      <c r="J15" t="str">
        <f t="shared" si="2"/>
        <v>Jul-2023</v>
      </c>
      <c r="K15" s="6"/>
      <c r="L15" s="6">
        <f t="shared" si="3"/>
        <v>7280</v>
      </c>
      <c r="M15" s="6">
        <f t="shared" si="4"/>
        <v>7300</v>
      </c>
      <c r="N15" s="6">
        <f t="shared" si="5"/>
        <v>7200</v>
      </c>
      <c r="O15" s="6"/>
      <c r="P15" s="6"/>
      <c r="Q15" s="6"/>
      <c r="R15" s="6"/>
      <c r="S15" s="6"/>
      <c r="T15" s="6"/>
      <c r="U15" s="6"/>
      <c r="V15" s="6"/>
      <c r="W15" s="6"/>
      <c r="X15" s="6"/>
      <c r="Y15" s="6"/>
      <c r="Z15" s="6"/>
    </row>
    <row r="16" spans="1:26" ht="14.4">
      <c r="A16" s="7">
        <v>2015</v>
      </c>
      <c r="B16" s="7" t="s">
        <v>93</v>
      </c>
      <c r="C16" s="7" t="s">
        <v>81</v>
      </c>
      <c r="D16" s="7" t="s">
        <v>96</v>
      </c>
      <c r="E16" s="7">
        <v>15678</v>
      </c>
      <c r="F16" s="8">
        <v>45137</v>
      </c>
      <c r="G16" s="6"/>
      <c r="H16" s="10">
        <f t="shared" si="0"/>
        <v>0.1</v>
      </c>
      <c r="I16" s="6" t="str">
        <f t="shared" si="1"/>
        <v>Eligible</v>
      </c>
      <c r="J16" t="str">
        <f t="shared" si="2"/>
        <v>Jul-2023</v>
      </c>
      <c r="K16" s="6"/>
      <c r="L16" s="6">
        <f t="shared" si="3"/>
        <v>15680</v>
      </c>
      <c r="M16" s="6">
        <f t="shared" si="4"/>
        <v>15700</v>
      </c>
      <c r="N16" s="6">
        <f t="shared" si="5"/>
        <v>15600</v>
      </c>
      <c r="O16" s="6"/>
      <c r="P16" s="6"/>
      <c r="Q16" s="6"/>
      <c r="R16" s="6"/>
      <c r="S16" s="6"/>
      <c r="T16" s="6"/>
      <c r="U16" s="6"/>
      <c r="V16" s="6"/>
      <c r="W16" s="6"/>
      <c r="X16" s="6"/>
      <c r="Y16" s="6"/>
      <c r="Z16" s="6"/>
    </row>
    <row r="17" spans="1:26" ht="14.4">
      <c r="A17" s="7">
        <v>2016</v>
      </c>
      <c r="B17" s="7" t="s">
        <v>79</v>
      </c>
      <c r="C17" s="7" t="s">
        <v>81</v>
      </c>
      <c r="D17" s="7" t="s">
        <v>97</v>
      </c>
      <c r="E17" s="7">
        <v>5277</v>
      </c>
      <c r="F17" s="8">
        <v>45152</v>
      </c>
      <c r="G17" s="6"/>
      <c r="H17" s="10">
        <f t="shared" si="0"/>
        <v>0</v>
      </c>
      <c r="I17" s="6" t="str">
        <f t="shared" si="1"/>
        <v>Not Eligible</v>
      </c>
      <c r="J17" t="str">
        <f t="shared" si="2"/>
        <v>Aug-2023</v>
      </c>
      <c r="K17" s="6"/>
      <c r="L17" s="6">
        <f t="shared" si="3"/>
        <v>5280</v>
      </c>
      <c r="M17" s="6">
        <f t="shared" si="4"/>
        <v>5300</v>
      </c>
      <c r="N17" s="6">
        <f t="shared" si="5"/>
        <v>5200</v>
      </c>
      <c r="O17" s="6"/>
      <c r="P17" s="6"/>
      <c r="Q17" s="6"/>
      <c r="R17" s="6"/>
      <c r="S17" s="6"/>
      <c r="T17" s="6"/>
      <c r="U17" s="6"/>
      <c r="V17" s="6"/>
      <c r="W17" s="6"/>
      <c r="X17" s="6"/>
      <c r="Y17" s="6"/>
      <c r="Z17" s="6"/>
    </row>
    <row r="18" spans="1:26" ht="14.4">
      <c r="A18" s="7">
        <v>2017</v>
      </c>
      <c r="B18" s="7" t="s">
        <v>91</v>
      </c>
      <c r="C18" s="7" t="s">
        <v>83</v>
      </c>
      <c r="D18" s="7" t="s">
        <v>98</v>
      </c>
      <c r="E18" s="7">
        <v>41871</v>
      </c>
      <c r="F18" s="8">
        <v>45167</v>
      </c>
      <c r="G18" s="6"/>
      <c r="H18" s="10">
        <f t="shared" si="0"/>
        <v>0.2</v>
      </c>
      <c r="I18" s="6" t="str">
        <f t="shared" si="1"/>
        <v>Eligible</v>
      </c>
      <c r="J18" t="str">
        <f t="shared" si="2"/>
        <v>Aug-2023</v>
      </c>
      <c r="K18" s="6"/>
      <c r="L18" s="6">
        <f t="shared" si="3"/>
        <v>41870</v>
      </c>
      <c r="M18" s="6">
        <f t="shared" si="4"/>
        <v>41900</v>
      </c>
      <c r="N18" s="6">
        <f t="shared" si="5"/>
        <v>41800</v>
      </c>
      <c r="O18" s="6"/>
      <c r="P18" s="6"/>
      <c r="Q18" s="6"/>
      <c r="R18" s="6"/>
      <c r="S18" s="6"/>
      <c r="T18" s="6"/>
      <c r="U18" s="6"/>
      <c r="V18" s="6"/>
      <c r="W18" s="6"/>
      <c r="X18" s="6"/>
      <c r="Y18" s="6"/>
      <c r="Z18" s="6"/>
    </row>
    <row r="19" spans="1:26" ht="14.4">
      <c r="A19" s="7">
        <v>2018</v>
      </c>
      <c r="B19" s="7" t="s">
        <v>91</v>
      </c>
      <c r="C19" s="7" t="s">
        <v>77</v>
      </c>
      <c r="D19" s="7" t="s">
        <v>99</v>
      </c>
      <c r="E19" s="7">
        <v>38161</v>
      </c>
      <c r="F19" s="8">
        <v>45182</v>
      </c>
      <c r="G19" s="6"/>
      <c r="H19" s="10">
        <f t="shared" si="0"/>
        <v>0.15</v>
      </c>
      <c r="I19" s="6" t="str">
        <f t="shared" si="1"/>
        <v>Eligible</v>
      </c>
      <c r="J19" t="str">
        <f t="shared" si="2"/>
        <v>Sep-2023</v>
      </c>
      <c r="K19" s="6"/>
      <c r="L19" s="6">
        <f t="shared" si="3"/>
        <v>38160</v>
      </c>
      <c r="M19" s="6">
        <f t="shared" si="4"/>
        <v>38200</v>
      </c>
      <c r="N19" s="6">
        <f t="shared" si="5"/>
        <v>38100</v>
      </c>
      <c r="O19" s="6"/>
      <c r="P19" s="6"/>
      <c r="Q19" s="6"/>
      <c r="R19" s="6"/>
      <c r="S19" s="6"/>
      <c r="T19" s="6"/>
      <c r="U19" s="6"/>
      <c r="V19" s="6"/>
      <c r="W19" s="6"/>
      <c r="X19" s="6"/>
      <c r="Y19" s="6"/>
      <c r="Z19" s="6"/>
    </row>
    <row r="20" spans="1:26" ht="14.4">
      <c r="A20" s="7">
        <v>2019</v>
      </c>
      <c r="B20" s="7" t="s">
        <v>79</v>
      </c>
      <c r="C20" s="7" t="s">
        <v>77</v>
      </c>
      <c r="D20" s="7" t="s">
        <v>100</v>
      </c>
      <c r="E20" s="7">
        <v>30436</v>
      </c>
      <c r="F20" s="8">
        <v>45197</v>
      </c>
      <c r="G20" s="6"/>
      <c r="H20" s="10">
        <f t="shared" si="0"/>
        <v>0.15</v>
      </c>
      <c r="I20" s="6" t="str">
        <f t="shared" si="1"/>
        <v>Eligible</v>
      </c>
      <c r="J20" t="str">
        <f t="shared" si="2"/>
        <v>Sep-2023</v>
      </c>
      <c r="K20" s="6"/>
      <c r="L20" s="6">
        <f t="shared" si="3"/>
        <v>30440</v>
      </c>
      <c r="M20" s="6">
        <f t="shared" si="4"/>
        <v>30500</v>
      </c>
      <c r="N20" s="6">
        <f t="shared" si="5"/>
        <v>30400</v>
      </c>
      <c r="O20" s="6"/>
      <c r="P20" s="6"/>
      <c r="Q20" s="6"/>
      <c r="R20" s="6"/>
      <c r="S20" s="6"/>
      <c r="T20" s="6"/>
      <c r="U20" s="6"/>
      <c r="V20" s="6"/>
      <c r="W20" s="6"/>
      <c r="X20" s="6"/>
      <c r="Y20" s="6"/>
      <c r="Z20" s="6"/>
    </row>
    <row r="21" spans="1:26" ht="15.75" customHeight="1">
      <c r="A21" s="7">
        <v>2020</v>
      </c>
      <c r="B21" s="7" t="s">
        <v>76</v>
      </c>
      <c r="C21" s="7" t="s">
        <v>77</v>
      </c>
      <c r="D21" s="7" t="s">
        <v>101</v>
      </c>
      <c r="E21" s="7">
        <v>33953</v>
      </c>
      <c r="F21" s="8">
        <v>45212</v>
      </c>
      <c r="G21" s="6"/>
      <c r="H21" s="10">
        <f t="shared" si="0"/>
        <v>0.15</v>
      </c>
      <c r="I21" s="6" t="str">
        <f t="shared" si="1"/>
        <v>Eligible</v>
      </c>
      <c r="J21" t="str">
        <f t="shared" si="2"/>
        <v>Oct-2023</v>
      </c>
      <c r="K21" s="6"/>
      <c r="L21" s="6">
        <f t="shared" si="3"/>
        <v>33950</v>
      </c>
      <c r="M21" s="6">
        <f t="shared" si="4"/>
        <v>34000</v>
      </c>
      <c r="N21" s="6">
        <f t="shared" si="5"/>
        <v>33900</v>
      </c>
      <c r="O21" s="6"/>
      <c r="P21" s="6"/>
      <c r="Q21" s="6"/>
      <c r="R21" s="6"/>
      <c r="S21" s="6"/>
      <c r="T21" s="6"/>
      <c r="U21" s="6"/>
      <c r="V21" s="6"/>
      <c r="W21" s="6"/>
      <c r="X21" s="6"/>
      <c r="Y21" s="6"/>
      <c r="Z21" s="6"/>
    </row>
    <row r="22" spans="1:26" ht="15.75" customHeight="1">
      <c r="A22" s="6"/>
      <c r="B22" s="6"/>
      <c r="C22" s="6"/>
      <c r="D22" s="6"/>
      <c r="E22" s="6"/>
      <c r="F22" s="6"/>
      <c r="G22" s="6"/>
      <c r="H22" s="6"/>
      <c r="I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K23" s="6"/>
      <c r="L23" s="6"/>
      <c r="M23" s="6"/>
      <c r="N23" s="6"/>
      <c r="O23" s="6"/>
      <c r="P23" s="6"/>
      <c r="Q23" s="6"/>
      <c r="R23" s="6"/>
      <c r="S23" s="6"/>
      <c r="T23" s="6"/>
      <c r="U23" s="6"/>
      <c r="V23" s="6"/>
      <c r="W23" s="6"/>
      <c r="X23" s="6"/>
      <c r="Y23" s="6"/>
      <c r="Z23" s="6"/>
    </row>
    <row r="24" spans="1:26" ht="34.200000000000003" customHeight="1">
      <c r="A24" s="20" t="s">
        <v>140</v>
      </c>
      <c r="B24" s="20"/>
      <c r="C24" s="6"/>
      <c r="D24" s="20" t="s">
        <v>141</v>
      </c>
      <c r="E24" s="20"/>
      <c r="F24" s="6"/>
      <c r="G24" s="24" t="s">
        <v>143</v>
      </c>
      <c r="H24" s="24"/>
      <c r="J24" s="18" t="s">
        <v>144</v>
      </c>
      <c r="K24" s="6"/>
      <c r="L24" s="18" t="s">
        <v>156</v>
      </c>
      <c r="M24" s="6"/>
      <c r="N24" s="6"/>
      <c r="O24" s="6"/>
      <c r="P24" s="6"/>
      <c r="Q24" s="6"/>
      <c r="R24" s="6"/>
      <c r="S24" s="6"/>
      <c r="T24" s="6"/>
      <c r="U24" s="6"/>
      <c r="V24" s="6"/>
      <c r="W24" s="6"/>
      <c r="X24" s="6"/>
      <c r="Y24" s="6"/>
      <c r="Z24" s="6"/>
    </row>
    <row r="25" spans="1:26" ht="15.75" customHeight="1">
      <c r="A25" s="21" t="s">
        <v>81</v>
      </c>
      <c r="B25" s="16">
        <f>SUMIF(C2:C21, "East", E2:E21)</f>
        <v>173932</v>
      </c>
      <c r="C25" s="6"/>
      <c r="D25" s="21" t="s">
        <v>73</v>
      </c>
      <c r="E25" s="16">
        <f>SUMIF(B2:B21,D25, E2:E21)</f>
        <v>165970</v>
      </c>
      <c r="F25" s="6"/>
      <c r="G25" s="25" t="s">
        <v>80</v>
      </c>
      <c r="H25" s="16">
        <f>_xlfn.XLOOKUP("Person 3", D:D, E:E)</f>
        <v>23672</v>
      </c>
      <c r="J25" s="23">
        <f>MATCH("Laptop",B2:B21,0)</f>
        <v>13</v>
      </c>
      <c r="K25" s="6"/>
      <c r="L25" s="16">
        <f>SUM(E2:E21)</f>
        <v>507725</v>
      </c>
      <c r="M25" s="6"/>
      <c r="N25" s="6"/>
      <c r="O25" s="6"/>
      <c r="P25" s="6"/>
      <c r="Q25" s="6"/>
      <c r="R25" s="6"/>
      <c r="S25" s="6"/>
      <c r="T25" s="6"/>
      <c r="U25" s="6"/>
      <c r="V25" s="6"/>
      <c r="W25" s="6"/>
      <c r="X25" s="6"/>
      <c r="Y25" s="6"/>
      <c r="Z25" s="6"/>
    </row>
    <row r="26" spans="1:26" ht="15.75" customHeight="1">
      <c r="A26" s="21" t="s">
        <v>77</v>
      </c>
      <c r="B26" s="16">
        <f>SUMIF(C3:C22, "West", E3:E22)</f>
        <v>119978</v>
      </c>
      <c r="C26" s="6"/>
      <c r="D26" s="21" t="s">
        <v>76</v>
      </c>
      <c r="E26" s="16">
        <f>SUMIF(B2:B21,D26, E2:E21)</f>
        <v>76391</v>
      </c>
      <c r="F26" s="6"/>
      <c r="G26" s="21" t="s">
        <v>85</v>
      </c>
      <c r="H26" s="16">
        <f>_xlfn.XLOOKUP("Person 6", D2:D21, E2:E21)</f>
        <v>19757</v>
      </c>
      <c r="K26" s="6"/>
      <c r="L26" s="6"/>
      <c r="M26" s="6"/>
      <c r="N26" s="6"/>
      <c r="O26" s="6"/>
      <c r="P26" s="6"/>
      <c r="Q26" s="6"/>
      <c r="R26" s="6"/>
      <c r="S26" s="6"/>
      <c r="T26" s="6"/>
      <c r="U26" s="6"/>
      <c r="V26" s="6"/>
      <c r="W26" s="6"/>
      <c r="X26" s="6"/>
      <c r="Y26" s="6"/>
      <c r="Z26" s="6"/>
    </row>
    <row r="27" spans="1:26" ht="15.75" customHeight="1">
      <c r="A27" s="21" t="s">
        <v>83</v>
      </c>
      <c r="B27" s="16">
        <f>SUMIF(C4:C23, "North", E4:E23)</f>
        <v>140627</v>
      </c>
      <c r="C27" s="6"/>
      <c r="D27" s="21" t="s">
        <v>79</v>
      </c>
      <c r="E27" s="16">
        <f>SUMIF(B2:B21,D27, E2:E21)</f>
        <v>111200</v>
      </c>
      <c r="F27" s="6"/>
      <c r="G27" s="21" t="s">
        <v>100</v>
      </c>
      <c r="H27" s="16">
        <f>_xlfn.XLOOKUP("Person 19", D3:D22, E3:E22)</f>
        <v>30436</v>
      </c>
      <c r="K27" s="6"/>
      <c r="L27" s="6"/>
      <c r="M27" s="6"/>
      <c r="N27" s="6"/>
      <c r="O27" s="6"/>
      <c r="P27" s="6"/>
      <c r="Q27" s="6"/>
      <c r="R27" s="6"/>
      <c r="S27" s="6"/>
      <c r="T27" s="6"/>
      <c r="U27" s="6"/>
      <c r="V27" s="6"/>
      <c r="W27" s="6"/>
      <c r="X27" s="6"/>
      <c r="Y27" s="6"/>
      <c r="Z27" s="6"/>
    </row>
    <row r="28" spans="1:26" ht="15.75" customHeight="1">
      <c r="A28" s="21" t="s">
        <v>74</v>
      </c>
      <c r="B28" s="16">
        <f>SUMIF(C4:C23, "South", E4:E23)</f>
        <v>66140</v>
      </c>
      <c r="C28" s="6"/>
      <c r="D28" s="21" t="s">
        <v>93</v>
      </c>
      <c r="E28" s="16">
        <f>SUMIF(B2:B21,D28, E2:E21)</f>
        <v>38521</v>
      </c>
      <c r="F28" s="6"/>
      <c r="G28" s="6"/>
      <c r="H28" s="6"/>
      <c r="I28" s="6"/>
      <c r="K28" s="6"/>
      <c r="L28" s="6"/>
      <c r="M28" s="6"/>
      <c r="N28" s="6"/>
      <c r="O28" s="6"/>
      <c r="P28" s="6"/>
      <c r="Q28" s="6"/>
      <c r="R28" s="6"/>
      <c r="S28" s="6"/>
      <c r="T28" s="6"/>
      <c r="U28" s="6"/>
      <c r="V28" s="6"/>
      <c r="W28" s="6"/>
      <c r="X28" s="6"/>
      <c r="Y28" s="6"/>
      <c r="Z28" s="6"/>
    </row>
    <row r="29" spans="1:26" ht="15.75" customHeight="1">
      <c r="A29" s="6"/>
      <c r="B29" s="6"/>
      <c r="C29" s="6"/>
      <c r="D29" s="21" t="s">
        <v>91</v>
      </c>
      <c r="E29" s="16">
        <f>SUMIF(B3:B22,D29, E3:E22)</f>
        <v>115643</v>
      </c>
      <c r="F29" s="6"/>
      <c r="G29" s="6"/>
      <c r="H29" s="6"/>
      <c r="I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K1000" s="6"/>
      <c r="L1000" s="6"/>
      <c r="M1000" s="6"/>
      <c r="N1000" s="6"/>
      <c r="O1000" s="6"/>
      <c r="P1000" s="6"/>
      <c r="Q1000" s="6"/>
      <c r="R1000" s="6"/>
      <c r="S1000" s="6"/>
      <c r="T1000" s="6"/>
      <c r="U1000" s="6"/>
      <c r="V1000" s="6"/>
      <c r="W1000" s="6"/>
      <c r="X1000" s="6"/>
      <c r="Y1000" s="6"/>
      <c r="Z1000" s="6"/>
    </row>
  </sheetData>
  <mergeCells count="3">
    <mergeCell ref="A24:B24"/>
    <mergeCell ref="D24:E24"/>
    <mergeCell ref="G24:H24"/>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1872-BD4B-4119-BD1A-DB831409F5F8}">
  <dimension ref="A1:E12"/>
  <sheetViews>
    <sheetView workbookViewId="0">
      <selection activeCell="B17" sqref="B17"/>
    </sheetView>
  </sheetViews>
  <sheetFormatPr defaultRowHeight="14.4"/>
  <cols>
    <col min="1" max="1" width="14" customWidth="1"/>
    <col min="2" max="2" width="14.33203125" customWidth="1"/>
    <col min="4" max="4" width="15.44140625" customWidth="1"/>
    <col min="5" max="5" width="16.21875" customWidth="1"/>
  </cols>
  <sheetData>
    <row r="1" spans="1:5">
      <c r="A1" s="28" t="s">
        <v>145</v>
      </c>
      <c r="B1" s="28" t="s">
        <v>146</v>
      </c>
      <c r="C1" s="28" t="s">
        <v>147</v>
      </c>
      <c r="E1" s="27"/>
    </row>
    <row r="2" spans="1:5">
      <c r="A2" t="s">
        <v>148</v>
      </c>
      <c r="B2" t="s">
        <v>93</v>
      </c>
      <c r="C2">
        <v>45000</v>
      </c>
    </row>
    <row r="3" spans="1:5">
      <c r="A3" t="s">
        <v>150</v>
      </c>
      <c r="B3" t="s">
        <v>91</v>
      </c>
      <c r="C3">
        <v>15000</v>
      </c>
    </row>
    <row r="4" spans="1:5">
      <c r="A4" t="s">
        <v>149</v>
      </c>
      <c r="B4" t="s">
        <v>73</v>
      </c>
      <c r="C4">
        <v>2500</v>
      </c>
    </row>
    <row r="5" spans="1:5">
      <c r="A5" t="s">
        <v>153</v>
      </c>
      <c r="B5" t="s">
        <v>79</v>
      </c>
      <c r="C5">
        <v>800</v>
      </c>
    </row>
    <row r="6" spans="1:5">
      <c r="A6" t="s">
        <v>154</v>
      </c>
      <c r="B6" t="s">
        <v>76</v>
      </c>
      <c r="C6">
        <v>8000</v>
      </c>
    </row>
    <row r="9" spans="1:5">
      <c r="A9" s="38" t="s">
        <v>163</v>
      </c>
      <c r="B9" s="38"/>
      <c r="D9" s="38" t="s">
        <v>164</v>
      </c>
      <c r="E9" s="38"/>
    </row>
    <row r="10" spans="1:5">
      <c r="A10" s="25" t="s">
        <v>160</v>
      </c>
      <c r="B10" s="23">
        <v>1001</v>
      </c>
      <c r="D10" s="25" t="s">
        <v>155</v>
      </c>
      <c r="E10" s="23" t="s">
        <v>153</v>
      </c>
    </row>
    <row r="11" spans="1:5">
      <c r="A11" s="25" t="s">
        <v>161</v>
      </c>
      <c r="B11" s="40" t="str">
        <f>VLOOKUP(B10, 'Students Grade'!A2:B21, 2, FALSE)</f>
        <v>Student 1</v>
      </c>
      <c r="D11" s="25" t="s">
        <v>151</v>
      </c>
      <c r="E11" s="23" t="str">
        <f>VLOOKUP(E10,A2:C6,2,FALSE)</f>
        <v>Mouse</v>
      </c>
    </row>
    <row r="12" spans="1:5">
      <c r="A12" s="25" t="s">
        <v>162</v>
      </c>
      <c r="B12" s="40" t="str">
        <f>VLOOKUP(B10, 'Students Grade'!A2:I21, 9, FALSE)</f>
        <v>C</v>
      </c>
      <c r="D12" s="25" t="s">
        <v>152</v>
      </c>
      <c r="E12" s="39">
        <f>VLOOKUP(E10,A2:C6,3,FALSE)</f>
        <v>800</v>
      </c>
    </row>
  </sheetData>
  <mergeCells count="2">
    <mergeCell ref="A9:B9"/>
    <mergeCell ref="D9: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workbookViewId="0">
      <selection activeCell="K21" sqref="K21"/>
    </sheetView>
  </sheetViews>
  <sheetFormatPr defaultColWidth="14.44140625" defaultRowHeight="15" customHeight="1"/>
  <cols>
    <col min="1" max="1" width="12" customWidth="1"/>
    <col min="2" max="2" width="12.109375" customWidth="1"/>
    <col min="3" max="3" width="11.6640625" customWidth="1"/>
    <col min="4" max="4" width="10" customWidth="1"/>
    <col min="5" max="5" width="18.88671875" customWidth="1"/>
    <col min="6" max="6" width="8.6640625" customWidth="1"/>
    <col min="7" max="7" width="15.88671875" customWidth="1"/>
    <col min="8" max="8" width="14.77734375" customWidth="1"/>
    <col min="9" max="9" width="8.6640625" customWidth="1"/>
    <col min="10" max="10" width="15" customWidth="1"/>
    <col min="11" max="11" width="16.44140625" customWidth="1"/>
    <col min="12" max="12" width="12.6640625" customWidth="1"/>
    <col min="13" max="13" width="11.6640625" customWidth="1"/>
    <col min="14" max="25" width="8.6640625" customWidth="1"/>
  </cols>
  <sheetData>
    <row r="1" spans="1:25" ht="14.4">
      <c r="A1" s="5" t="s">
        <v>102</v>
      </c>
      <c r="B1" s="5" t="s">
        <v>42</v>
      </c>
      <c r="C1" s="5" t="s">
        <v>103</v>
      </c>
      <c r="D1" s="5" t="s">
        <v>104</v>
      </c>
      <c r="E1" s="5" t="s">
        <v>105</v>
      </c>
      <c r="F1" s="6"/>
      <c r="G1" s="18" t="s">
        <v>170</v>
      </c>
      <c r="H1" s="18" t="s">
        <v>175</v>
      </c>
      <c r="I1" s="6"/>
      <c r="J1" s="6"/>
      <c r="K1" s="6"/>
      <c r="L1" s="6"/>
      <c r="M1" s="6"/>
      <c r="N1" s="6"/>
      <c r="O1" s="6"/>
      <c r="P1" s="6"/>
      <c r="Q1" s="6"/>
      <c r="R1" s="6"/>
      <c r="S1" s="6"/>
      <c r="T1" s="6"/>
      <c r="U1" s="6"/>
      <c r="V1" s="6"/>
      <c r="W1" s="6"/>
      <c r="X1" s="6"/>
      <c r="Y1" s="6"/>
    </row>
    <row r="2" spans="1:25" ht="14.4">
      <c r="A2" s="7">
        <v>3001</v>
      </c>
      <c r="B2" s="7" t="s">
        <v>106</v>
      </c>
      <c r="C2" s="7" t="s">
        <v>107</v>
      </c>
      <c r="D2" s="7">
        <v>86766</v>
      </c>
      <c r="E2" s="8">
        <v>42005</v>
      </c>
      <c r="F2" s="6"/>
      <c r="G2" s="6" t="str">
        <f>IF(D2&gt;50000, "Eligible", "Not Eligible")</f>
        <v>Eligible</v>
      </c>
      <c r="H2" s="6">
        <f ca="1">IF(E2&gt;TODAY(), "Not Available", DATEDIF(E2, TODAY(), "Y"))</f>
        <v>10</v>
      </c>
      <c r="I2" s="6"/>
      <c r="J2" s="6"/>
      <c r="K2" s="6"/>
      <c r="L2" s="6"/>
      <c r="M2" s="6"/>
      <c r="N2" s="6"/>
      <c r="O2" s="6"/>
      <c r="P2" s="6"/>
      <c r="Q2" s="6"/>
      <c r="R2" s="6"/>
      <c r="S2" s="6"/>
      <c r="T2" s="6"/>
      <c r="U2" s="6"/>
      <c r="V2" s="6"/>
      <c r="W2" s="6"/>
      <c r="X2" s="6"/>
      <c r="Y2" s="6"/>
    </row>
    <row r="3" spans="1:25" ht="14.4">
      <c r="A3" s="7">
        <v>3002</v>
      </c>
      <c r="B3" s="7" t="s">
        <v>108</v>
      </c>
      <c r="C3" s="7" t="s">
        <v>107</v>
      </c>
      <c r="D3" s="7">
        <v>31943</v>
      </c>
      <c r="E3" s="8">
        <v>42255</v>
      </c>
      <c r="F3" s="6"/>
      <c r="G3" s="6" t="str">
        <f t="shared" ref="G3:G21" si="0">IF(D3&gt;50000, "Eligible", "Not Eligible")</f>
        <v>Not Eligible</v>
      </c>
      <c r="H3" s="6">
        <f t="shared" ref="H3:H21" ca="1" si="1">IF(E3&gt;TODAY(), "Not Available", DATEDIF(E3, TODAY(), "Y"))</f>
        <v>10</v>
      </c>
      <c r="I3" s="6"/>
      <c r="J3" s="6"/>
      <c r="K3" s="6"/>
      <c r="L3" s="6"/>
      <c r="M3" s="6"/>
      <c r="N3" s="6"/>
      <c r="O3" s="6"/>
      <c r="P3" s="6"/>
      <c r="Q3" s="6"/>
      <c r="R3" s="6"/>
      <c r="S3" s="6"/>
      <c r="T3" s="6"/>
      <c r="U3" s="6"/>
      <c r="V3" s="6"/>
      <c r="W3" s="6"/>
      <c r="X3" s="6"/>
      <c r="Y3" s="6"/>
    </row>
    <row r="4" spans="1:25" ht="14.4">
      <c r="A4" s="7">
        <v>3003</v>
      </c>
      <c r="B4" s="7" t="s">
        <v>109</v>
      </c>
      <c r="C4" s="7" t="s">
        <v>110</v>
      </c>
      <c r="D4" s="7">
        <v>63374</v>
      </c>
      <c r="E4" s="8">
        <v>42505</v>
      </c>
      <c r="F4" s="6"/>
      <c r="G4" s="6" t="str">
        <f t="shared" si="0"/>
        <v>Eligible</v>
      </c>
      <c r="H4" s="6">
        <f t="shared" ca="1" si="1"/>
        <v>9</v>
      </c>
      <c r="I4" s="6"/>
      <c r="J4" s="6"/>
      <c r="K4" s="6"/>
      <c r="L4" s="6"/>
      <c r="M4" s="6"/>
      <c r="N4" s="6"/>
      <c r="O4" s="6"/>
      <c r="P4" s="6"/>
      <c r="Q4" s="6"/>
      <c r="R4" s="6"/>
      <c r="S4" s="6"/>
      <c r="T4" s="6"/>
      <c r="U4" s="6"/>
      <c r="V4" s="6"/>
      <c r="W4" s="6"/>
      <c r="X4" s="6"/>
      <c r="Y4" s="6"/>
    </row>
    <row r="5" spans="1:25" ht="14.4">
      <c r="A5" s="7">
        <v>3004</v>
      </c>
      <c r="B5" s="7" t="s">
        <v>111</v>
      </c>
      <c r="C5" s="7" t="s">
        <v>107</v>
      </c>
      <c r="D5" s="7">
        <v>109972</v>
      </c>
      <c r="E5" s="8">
        <v>42755</v>
      </c>
      <c r="F5" s="6"/>
      <c r="G5" s="6" t="str">
        <f t="shared" si="0"/>
        <v>Eligible</v>
      </c>
      <c r="H5" s="6">
        <f t="shared" ca="1" si="1"/>
        <v>8</v>
      </c>
      <c r="I5" s="6"/>
      <c r="J5" s="6"/>
      <c r="K5" s="6"/>
      <c r="L5" s="6"/>
      <c r="M5" s="6"/>
      <c r="N5" s="6"/>
      <c r="O5" s="6"/>
      <c r="P5" s="6"/>
      <c r="Q5" s="6"/>
      <c r="R5" s="6"/>
      <c r="S5" s="6"/>
      <c r="T5" s="6"/>
      <c r="U5" s="6"/>
      <c r="V5" s="6"/>
      <c r="W5" s="6"/>
      <c r="X5" s="6"/>
      <c r="Y5" s="6"/>
    </row>
    <row r="6" spans="1:25" ht="14.4">
      <c r="A6" s="7">
        <v>3005</v>
      </c>
      <c r="B6" s="7" t="s">
        <v>112</v>
      </c>
      <c r="C6" s="7" t="s">
        <v>113</v>
      </c>
      <c r="D6" s="7">
        <v>54149</v>
      </c>
      <c r="E6" s="8">
        <v>43005</v>
      </c>
      <c r="F6" s="6"/>
      <c r="G6" s="6" t="str">
        <f t="shared" si="0"/>
        <v>Eligible</v>
      </c>
      <c r="H6" s="6">
        <f t="shared" ca="1" si="1"/>
        <v>8</v>
      </c>
      <c r="I6" s="6"/>
      <c r="J6" s="6"/>
      <c r="K6" s="6"/>
      <c r="L6" s="6"/>
      <c r="M6" s="6"/>
      <c r="N6" s="6"/>
      <c r="O6" s="6"/>
      <c r="P6" s="6"/>
      <c r="Q6" s="6"/>
      <c r="R6" s="6"/>
      <c r="S6" s="6"/>
      <c r="T6" s="6"/>
      <c r="U6" s="6"/>
      <c r="V6" s="6"/>
      <c r="W6" s="6"/>
      <c r="X6" s="6"/>
      <c r="Y6" s="6"/>
    </row>
    <row r="7" spans="1:25" ht="14.4">
      <c r="A7" s="7">
        <v>3006</v>
      </c>
      <c r="B7" s="7" t="s">
        <v>114</v>
      </c>
      <c r="C7" s="7" t="s">
        <v>113</v>
      </c>
      <c r="D7" s="7">
        <v>78689</v>
      </c>
      <c r="E7" s="8">
        <v>43255</v>
      </c>
      <c r="F7" s="6"/>
      <c r="G7" s="6" t="str">
        <f t="shared" si="0"/>
        <v>Eligible</v>
      </c>
      <c r="H7" s="6">
        <f t="shared" ca="1" si="1"/>
        <v>7</v>
      </c>
      <c r="I7" s="6"/>
      <c r="J7" s="6"/>
      <c r="K7" s="6"/>
      <c r="L7" s="6"/>
      <c r="M7" s="6"/>
      <c r="N7" s="6"/>
      <c r="O7" s="6"/>
      <c r="P7" s="6"/>
      <c r="Q7" s="6"/>
      <c r="R7" s="6"/>
      <c r="S7" s="6"/>
      <c r="T7" s="6"/>
      <c r="U7" s="6"/>
      <c r="V7" s="6"/>
      <c r="W7" s="6"/>
      <c r="X7" s="6"/>
      <c r="Y7" s="6"/>
    </row>
    <row r="8" spans="1:25" ht="14.4">
      <c r="A8" s="7">
        <v>3007</v>
      </c>
      <c r="B8" s="7" t="s">
        <v>115</v>
      </c>
      <c r="C8" s="7" t="s">
        <v>116</v>
      </c>
      <c r="D8" s="7">
        <v>35960</v>
      </c>
      <c r="E8" s="8">
        <v>43505</v>
      </c>
      <c r="F8" s="6"/>
      <c r="G8" s="6" t="str">
        <f t="shared" si="0"/>
        <v>Not Eligible</v>
      </c>
      <c r="H8" s="6">
        <f t="shared" ca="1" si="1"/>
        <v>6</v>
      </c>
      <c r="I8" s="6"/>
      <c r="J8" s="6"/>
      <c r="K8" s="6"/>
      <c r="L8" s="6"/>
      <c r="M8" s="6"/>
      <c r="N8" s="6"/>
      <c r="O8" s="6"/>
      <c r="P8" s="6"/>
      <c r="Q8" s="6"/>
      <c r="R8" s="6"/>
      <c r="S8" s="6"/>
      <c r="T8" s="6"/>
      <c r="U8" s="6"/>
      <c r="V8" s="6"/>
      <c r="W8" s="6"/>
      <c r="X8" s="6"/>
      <c r="Y8" s="6"/>
    </row>
    <row r="9" spans="1:25" ht="14.4">
      <c r="A9" s="7">
        <v>3008</v>
      </c>
      <c r="B9" s="7" t="s">
        <v>117</v>
      </c>
      <c r="C9" s="7" t="s">
        <v>113</v>
      </c>
      <c r="D9" s="7">
        <v>91659</v>
      </c>
      <c r="E9" s="8">
        <v>43755</v>
      </c>
      <c r="F9" s="6"/>
      <c r="G9" s="6" t="str">
        <f t="shared" si="0"/>
        <v>Eligible</v>
      </c>
      <c r="H9" s="6">
        <f t="shared" ca="1" si="1"/>
        <v>6</v>
      </c>
      <c r="I9" s="6"/>
      <c r="J9" s="6"/>
      <c r="K9" s="6"/>
      <c r="L9" s="6"/>
      <c r="M9" s="6"/>
      <c r="N9" s="6"/>
      <c r="O9" s="6"/>
      <c r="P9" s="6"/>
      <c r="Q9" s="6"/>
      <c r="R9" s="6"/>
      <c r="S9" s="6"/>
      <c r="T9" s="6"/>
      <c r="U9" s="6"/>
      <c r="V9" s="6"/>
      <c r="W9" s="6"/>
      <c r="X9" s="6"/>
      <c r="Y9" s="6"/>
    </row>
    <row r="10" spans="1:25" ht="14.4">
      <c r="A10" s="7">
        <v>3009</v>
      </c>
      <c r="B10" s="7" t="s">
        <v>118</v>
      </c>
      <c r="C10" s="7" t="s">
        <v>113</v>
      </c>
      <c r="D10" s="7">
        <v>90423</v>
      </c>
      <c r="E10" s="8">
        <v>44005</v>
      </c>
      <c r="F10" s="6"/>
      <c r="G10" s="6" t="str">
        <f t="shared" si="0"/>
        <v>Eligible</v>
      </c>
      <c r="H10" s="6">
        <f t="shared" ca="1" si="1"/>
        <v>5</v>
      </c>
      <c r="I10" s="6"/>
      <c r="J10" s="6"/>
      <c r="K10" s="6"/>
      <c r="L10" s="6"/>
      <c r="M10" s="6"/>
      <c r="N10" s="6"/>
      <c r="O10" s="6"/>
      <c r="P10" s="6"/>
      <c r="Q10" s="6"/>
      <c r="R10" s="6"/>
      <c r="S10" s="6"/>
      <c r="T10" s="6"/>
      <c r="U10" s="6"/>
      <c r="V10" s="6"/>
      <c r="W10" s="6"/>
      <c r="X10" s="6"/>
      <c r="Y10" s="6"/>
    </row>
    <row r="11" spans="1:25" ht="14.4">
      <c r="A11" s="7">
        <v>3010</v>
      </c>
      <c r="B11" s="7" t="s">
        <v>119</v>
      </c>
      <c r="C11" s="7" t="s">
        <v>110</v>
      </c>
      <c r="D11" s="7">
        <v>107877</v>
      </c>
      <c r="E11" s="8">
        <v>44255</v>
      </c>
      <c r="F11" s="6"/>
      <c r="G11" s="6" t="str">
        <f t="shared" si="0"/>
        <v>Eligible</v>
      </c>
      <c r="H11" s="6">
        <f t="shared" ca="1" si="1"/>
        <v>4</v>
      </c>
      <c r="I11" s="6"/>
      <c r="J11" s="6"/>
      <c r="K11" s="6"/>
      <c r="L11" s="6"/>
      <c r="M11" s="6"/>
      <c r="N11" s="6"/>
      <c r="O11" s="6"/>
      <c r="P11" s="6"/>
      <c r="Q11" s="6"/>
      <c r="R11" s="6"/>
      <c r="S11" s="6"/>
      <c r="T11" s="6"/>
      <c r="U11" s="6"/>
      <c r="V11" s="6"/>
      <c r="W11" s="6"/>
      <c r="X11" s="6"/>
      <c r="Y11" s="6"/>
    </row>
    <row r="12" spans="1:25" ht="14.4">
      <c r="A12" s="7">
        <v>3011</v>
      </c>
      <c r="B12" s="7" t="s">
        <v>120</v>
      </c>
      <c r="C12" s="7" t="s">
        <v>107</v>
      </c>
      <c r="D12" s="7">
        <v>107634</v>
      </c>
      <c r="E12" s="8">
        <v>44505</v>
      </c>
      <c r="F12" s="6"/>
      <c r="G12" s="6" t="str">
        <f t="shared" si="0"/>
        <v>Eligible</v>
      </c>
      <c r="H12" s="6">
        <f t="shared" ca="1" si="1"/>
        <v>4</v>
      </c>
      <c r="I12" s="6"/>
      <c r="J12" s="6"/>
      <c r="K12" s="6"/>
      <c r="L12" s="6"/>
      <c r="M12" s="6"/>
      <c r="N12" s="6"/>
      <c r="O12" s="6"/>
      <c r="P12" s="6"/>
      <c r="Q12" s="6"/>
      <c r="R12" s="6"/>
      <c r="S12" s="6"/>
      <c r="T12" s="6"/>
      <c r="U12" s="6"/>
      <c r="V12" s="6"/>
      <c r="W12" s="6"/>
      <c r="X12" s="6"/>
      <c r="Y12" s="6"/>
    </row>
    <row r="13" spans="1:25" ht="14.4">
      <c r="A13" s="7">
        <v>3012</v>
      </c>
      <c r="B13" s="7" t="s">
        <v>121</v>
      </c>
      <c r="C13" s="7" t="s">
        <v>107</v>
      </c>
      <c r="D13" s="7">
        <v>35226</v>
      </c>
      <c r="E13" s="8">
        <v>44755</v>
      </c>
      <c r="F13" s="6"/>
      <c r="G13" s="6" t="str">
        <f t="shared" si="0"/>
        <v>Not Eligible</v>
      </c>
      <c r="H13" s="6">
        <f t="shared" ca="1" si="1"/>
        <v>3</v>
      </c>
      <c r="I13" s="6"/>
      <c r="J13" s="6"/>
      <c r="K13" s="6"/>
      <c r="L13" s="6"/>
      <c r="M13" s="6"/>
      <c r="N13" s="6"/>
      <c r="O13" s="6"/>
      <c r="P13" s="6"/>
      <c r="Q13" s="6"/>
      <c r="R13" s="6"/>
      <c r="S13" s="6"/>
      <c r="T13" s="6"/>
      <c r="U13" s="6"/>
      <c r="V13" s="6"/>
      <c r="W13" s="6"/>
      <c r="X13" s="6"/>
      <c r="Y13" s="6"/>
    </row>
    <row r="14" spans="1:25" ht="14.4">
      <c r="A14" s="7">
        <v>3013</v>
      </c>
      <c r="B14" s="7" t="s">
        <v>122</v>
      </c>
      <c r="C14" s="7" t="s">
        <v>110</v>
      </c>
      <c r="D14" s="7">
        <v>40872</v>
      </c>
      <c r="E14" s="8">
        <v>45005</v>
      </c>
      <c r="F14" s="6"/>
      <c r="G14" s="6" t="str">
        <f t="shared" si="0"/>
        <v>Not Eligible</v>
      </c>
      <c r="H14" s="6">
        <f t="shared" ca="1" si="1"/>
        <v>2</v>
      </c>
      <c r="I14" s="6"/>
      <c r="J14" s="6"/>
      <c r="K14" s="6"/>
      <c r="L14" s="6"/>
      <c r="M14" s="6"/>
      <c r="N14" s="6"/>
      <c r="O14" s="6"/>
      <c r="P14" s="6"/>
      <c r="Q14" s="6"/>
      <c r="R14" s="6"/>
      <c r="S14" s="6"/>
      <c r="T14" s="6"/>
      <c r="U14" s="6"/>
      <c r="V14" s="6"/>
      <c r="W14" s="6"/>
      <c r="X14" s="6"/>
      <c r="Y14" s="6"/>
    </row>
    <row r="15" spans="1:25" ht="14.4">
      <c r="A15" s="7">
        <v>3014</v>
      </c>
      <c r="B15" s="7" t="s">
        <v>123</v>
      </c>
      <c r="C15" s="7" t="s">
        <v>110</v>
      </c>
      <c r="D15" s="7">
        <v>55378</v>
      </c>
      <c r="E15" s="8">
        <v>45255</v>
      </c>
      <c r="F15" s="6"/>
      <c r="G15" s="6" t="str">
        <f t="shared" si="0"/>
        <v>Eligible</v>
      </c>
      <c r="H15" s="6">
        <f t="shared" ca="1" si="1"/>
        <v>2</v>
      </c>
      <c r="I15" s="6"/>
      <c r="J15" s="6"/>
      <c r="K15" s="6"/>
      <c r="L15" s="6"/>
      <c r="M15" s="6"/>
      <c r="N15" s="6"/>
      <c r="O15" s="6"/>
      <c r="P15" s="6"/>
      <c r="Q15" s="6"/>
      <c r="R15" s="6"/>
      <c r="S15" s="6"/>
      <c r="T15" s="6"/>
      <c r="U15" s="6"/>
      <c r="V15" s="6"/>
      <c r="W15" s="6"/>
      <c r="X15" s="6"/>
      <c r="Y15" s="6"/>
    </row>
    <row r="16" spans="1:25" ht="14.4">
      <c r="A16" s="7">
        <v>3015</v>
      </c>
      <c r="B16" s="7" t="s">
        <v>124</v>
      </c>
      <c r="C16" s="7" t="s">
        <v>110</v>
      </c>
      <c r="D16" s="7">
        <v>63297</v>
      </c>
      <c r="E16" s="8">
        <v>45505</v>
      </c>
      <c r="F16" s="6"/>
      <c r="G16" s="6" t="str">
        <f t="shared" si="0"/>
        <v>Eligible</v>
      </c>
      <c r="H16" s="6">
        <f t="shared" ca="1" si="1"/>
        <v>1</v>
      </c>
      <c r="I16" s="6"/>
      <c r="J16" s="6"/>
      <c r="K16" s="6"/>
      <c r="L16" s="6"/>
      <c r="M16" s="6"/>
      <c r="N16" s="6"/>
      <c r="O16" s="6"/>
      <c r="P16" s="6"/>
      <c r="Q16" s="6"/>
      <c r="R16" s="6"/>
      <c r="S16" s="6"/>
      <c r="T16" s="6"/>
      <c r="U16" s="6"/>
      <c r="V16" s="6"/>
      <c r="W16" s="6"/>
      <c r="X16" s="6"/>
      <c r="Y16" s="6"/>
    </row>
    <row r="17" spans="1:25" ht="14.4">
      <c r="A17" s="7">
        <v>3016</v>
      </c>
      <c r="B17" s="7" t="s">
        <v>125</v>
      </c>
      <c r="C17" s="7" t="s">
        <v>107</v>
      </c>
      <c r="D17" s="7">
        <v>114173</v>
      </c>
      <c r="E17" s="8">
        <v>45755</v>
      </c>
      <c r="F17" s="6"/>
      <c r="G17" s="6" t="str">
        <f t="shared" si="0"/>
        <v>Eligible</v>
      </c>
      <c r="H17" s="6">
        <f t="shared" ca="1" si="1"/>
        <v>0</v>
      </c>
      <c r="I17" s="6"/>
      <c r="J17" s="6"/>
      <c r="K17" s="6"/>
      <c r="L17" s="6"/>
      <c r="M17" s="6"/>
      <c r="N17" s="6"/>
      <c r="O17" s="6"/>
      <c r="P17" s="6"/>
      <c r="Q17" s="6"/>
      <c r="R17" s="6"/>
      <c r="S17" s="6"/>
      <c r="T17" s="6"/>
      <c r="U17" s="6"/>
      <c r="V17" s="6"/>
      <c r="W17" s="6"/>
      <c r="X17" s="6"/>
      <c r="Y17" s="6"/>
    </row>
    <row r="18" spans="1:25" ht="14.4">
      <c r="A18" s="7">
        <v>3017</v>
      </c>
      <c r="B18" s="7" t="s">
        <v>126</v>
      </c>
      <c r="C18" s="7" t="s">
        <v>110</v>
      </c>
      <c r="D18" s="7">
        <v>86915</v>
      </c>
      <c r="E18" s="8">
        <v>46005</v>
      </c>
      <c r="F18" s="6"/>
      <c r="G18" s="6" t="str">
        <f t="shared" si="0"/>
        <v>Eligible</v>
      </c>
      <c r="H18" s="6" t="str">
        <f t="shared" ca="1" si="1"/>
        <v>Not Available</v>
      </c>
      <c r="I18" s="6"/>
      <c r="J18" s="6"/>
      <c r="K18" s="6"/>
      <c r="L18" s="6"/>
      <c r="M18" s="6"/>
      <c r="N18" s="6"/>
      <c r="O18" s="6"/>
      <c r="P18" s="6"/>
      <c r="Q18" s="6"/>
      <c r="R18" s="6"/>
      <c r="S18" s="6"/>
      <c r="T18" s="6"/>
      <c r="U18" s="6"/>
      <c r="V18" s="6"/>
      <c r="W18" s="6"/>
      <c r="X18" s="6"/>
      <c r="Y18" s="6"/>
    </row>
    <row r="19" spans="1:25" ht="14.4">
      <c r="A19" s="7">
        <v>3018</v>
      </c>
      <c r="B19" s="7" t="s">
        <v>127</v>
      </c>
      <c r="C19" s="7" t="s">
        <v>113</v>
      </c>
      <c r="D19" s="7">
        <v>116284</v>
      </c>
      <c r="E19" s="8">
        <v>46255</v>
      </c>
      <c r="F19" s="6"/>
      <c r="G19" s="6" t="str">
        <f t="shared" si="0"/>
        <v>Eligible</v>
      </c>
      <c r="H19" s="6" t="str">
        <f t="shared" ca="1" si="1"/>
        <v>Not Available</v>
      </c>
      <c r="I19" s="6"/>
      <c r="J19" s="6"/>
      <c r="K19" s="6"/>
      <c r="L19" s="6"/>
      <c r="M19" s="6"/>
      <c r="N19" s="6"/>
      <c r="O19" s="6"/>
      <c r="P19" s="6"/>
      <c r="Q19" s="6"/>
      <c r="R19" s="6"/>
      <c r="S19" s="6"/>
      <c r="T19" s="6"/>
      <c r="U19" s="6"/>
      <c r="V19" s="6"/>
      <c r="W19" s="6"/>
      <c r="X19" s="6"/>
      <c r="Y19" s="6"/>
    </row>
    <row r="20" spans="1:25" ht="14.4">
      <c r="A20" s="7">
        <v>3019</v>
      </c>
      <c r="B20" s="7" t="s">
        <v>128</v>
      </c>
      <c r="C20" s="7" t="s">
        <v>116</v>
      </c>
      <c r="D20" s="7">
        <v>116283</v>
      </c>
      <c r="E20" s="8">
        <v>46505</v>
      </c>
      <c r="F20" s="6"/>
      <c r="G20" s="6" t="str">
        <f t="shared" si="0"/>
        <v>Eligible</v>
      </c>
      <c r="H20" s="6" t="str">
        <f t="shared" ca="1" si="1"/>
        <v>Not Available</v>
      </c>
      <c r="I20" s="6"/>
      <c r="J20" s="6"/>
      <c r="K20" s="6"/>
      <c r="L20" s="6"/>
      <c r="M20" s="6"/>
      <c r="N20" s="6"/>
      <c r="O20" s="6"/>
      <c r="P20" s="6"/>
      <c r="Q20" s="6"/>
      <c r="R20" s="6"/>
      <c r="S20" s="6"/>
      <c r="T20" s="6"/>
      <c r="U20" s="6"/>
      <c r="V20" s="6"/>
      <c r="W20" s="6"/>
      <c r="X20" s="6"/>
      <c r="Y20" s="6"/>
    </row>
    <row r="21" spans="1:25" ht="15.75" customHeight="1">
      <c r="A21" s="7">
        <v>3020</v>
      </c>
      <c r="B21" s="7" t="s">
        <v>129</v>
      </c>
      <c r="C21" s="7" t="s">
        <v>116</v>
      </c>
      <c r="D21" s="7">
        <v>99924</v>
      </c>
      <c r="E21" s="8">
        <v>46755</v>
      </c>
      <c r="F21" s="6"/>
      <c r="G21" s="6" t="str">
        <f t="shared" si="0"/>
        <v>Eligible</v>
      </c>
      <c r="H21" s="6" t="str">
        <f t="shared" ca="1" si="1"/>
        <v>Not Available</v>
      </c>
      <c r="I21" s="6"/>
      <c r="J21" s="6"/>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43"/>
      <c r="K22" s="43"/>
      <c r="L22" s="43"/>
      <c r="M22" s="43"/>
      <c r="N22" s="43"/>
      <c r="O22" s="43"/>
      <c r="P22" s="6"/>
      <c r="Q22" s="6"/>
      <c r="R22" s="6"/>
      <c r="S22" s="6"/>
      <c r="T22" s="6"/>
      <c r="U22" s="6"/>
      <c r="V22" s="6"/>
      <c r="W22" s="6"/>
      <c r="X22" s="6"/>
      <c r="Y22" s="6"/>
    </row>
    <row r="23" spans="1:25" ht="31.8" customHeight="1">
      <c r="A23" s="24" t="s">
        <v>169</v>
      </c>
      <c r="B23" s="24"/>
      <c r="C23" s="6"/>
      <c r="D23" s="20" t="s">
        <v>171</v>
      </c>
      <c r="E23" s="20"/>
      <c r="F23" s="6"/>
      <c r="G23" s="24" t="s">
        <v>173</v>
      </c>
      <c r="H23" s="24"/>
      <c r="I23" s="6"/>
      <c r="J23" s="42"/>
      <c r="K23" s="42"/>
      <c r="L23" s="42"/>
      <c r="M23" s="42"/>
      <c r="N23" s="42"/>
      <c r="O23" s="43"/>
      <c r="P23" s="6"/>
      <c r="Q23" s="6"/>
      <c r="R23" s="6"/>
      <c r="S23" s="6"/>
      <c r="T23" s="6"/>
      <c r="U23" s="6"/>
      <c r="V23" s="6"/>
      <c r="W23" s="6"/>
      <c r="X23" s="6"/>
      <c r="Y23" s="6"/>
    </row>
    <row r="24" spans="1:25" ht="15.75" customHeight="1">
      <c r="A24" s="21" t="s">
        <v>168</v>
      </c>
      <c r="B24" s="16">
        <v>3002</v>
      </c>
      <c r="C24" s="6"/>
      <c r="D24" s="41" t="s">
        <v>107</v>
      </c>
      <c r="E24" s="16">
        <f>COUNTIFS($C$2:$C$21, D24, $D$2:$D$21, "&gt;50000")</f>
        <v>4</v>
      </c>
      <c r="F24" s="6"/>
      <c r="G24" s="41" t="s">
        <v>107</v>
      </c>
      <c r="H24" s="6">
        <f>SUMIFS($D$2:$D$21, $C$2:$C$21, G24)</f>
        <v>485714</v>
      </c>
      <c r="I24" s="19" t="s">
        <v>174</v>
      </c>
      <c r="J24" s="42"/>
      <c r="K24" s="42"/>
      <c r="L24" s="42"/>
      <c r="M24" s="42"/>
      <c r="N24" s="42"/>
      <c r="O24" s="43"/>
      <c r="P24" s="6"/>
      <c r="Q24" s="6"/>
      <c r="R24" s="6"/>
      <c r="S24" s="6"/>
      <c r="T24" s="6"/>
      <c r="U24" s="6"/>
      <c r="V24" s="6"/>
      <c r="W24" s="6"/>
      <c r="X24" s="6"/>
      <c r="Y24" s="6"/>
    </row>
    <row r="25" spans="1:25" ht="15.75" customHeight="1">
      <c r="A25" s="25" t="s">
        <v>165</v>
      </c>
      <c r="B25" s="16" t="str">
        <f>INDEX(B2:B20, MATCH($B$24, A2:A20, 0))</f>
        <v>Employee 2</v>
      </c>
      <c r="C25" s="6"/>
      <c r="D25" s="21" t="s">
        <v>172</v>
      </c>
      <c r="E25" s="16">
        <f t="shared" ref="E25:E27" si="2">COUNTIFS($C$2:$C$21, D25, $D$2:$D$21, "&gt;50000")</f>
        <v>5</v>
      </c>
      <c r="F25" s="6"/>
      <c r="G25" s="21" t="s">
        <v>172</v>
      </c>
      <c r="H25" s="6">
        <f t="shared" ref="H25:H27" si="3">SUMIFS($D$2:$D$21, $C$2:$C$21, G25)</f>
        <v>417713</v>
      </c>
      <c r="I25" s="6"/>
      <c r="J25" s="42"/>
      <c r="K25" s="42"/>
      <c r="L25" s="42"/>
      <c r="M25" s="42"/>
      <c r="N25" s="42"/>
      <c r="O25" s="43"/>
      <c r="P25" s="6"/>
      <c r="Q25" s="6"/>
      <c r="R25" s="6"/>
      <c r="S25" s="6"/>
      <c r="T25" s="6"/>
      <c r="U25" s="6"/>
      <c r="V25" s="6"/>
      <c r="W25" s="6"/>
      <c r="X25" s="6"/>
      <c r="Y25" s="6"/>
    </row>
    <row r="26" spans="1:25" ht="15.75" customHeight="1">
      <c r="A26" s="21" t="s">
        <v>166</v>
      </c>
      <c r="B26" s="16">
        <f>_xlfn.XLOOKUP(B24, A2:A100, D2:D100, "Not Found")</f>
        <v>31943</v>
      </c>
      <c r="C26" s="6"/>
      <c r="D26" s="21" t="s">
        <v>116</v>
      </c>
      <c r="E26" s="16">
        <f t="shared" si="2"/>
        <v>2</v>
      </c>
      <c r="F26" s="6"/>
      <c r="G26" s="21" t="s">
        <v>116</v>
      </c>
      <c r="H26" s="6">
        <f t="shared" si="3"/>
        <v>252167</v>
      </c>
      <c r="I26" s="6"/>
      <c r="J26" s="43"/>
      <c r="K26" s="43"/>
      <c r="L26" s="43"/>
      <c r="M26" s="43"/>
      <c r="N26" s="43"/>
      <c r="O26" s="43"/>
      <c r="P26" s="6"/>
      <c r="Q26" s="6"/>
      <c r="R26" s="6"/>
      <c r="S26" s="6"/>
      <c r="T26" s="6"/>
      <c r="U26" s="6"/>
      <c r="V26" s="6"/>
      <c r="W26" s="6"/>
      <c r="X26" s="6"/>
      <c r="Y26" s="6"/>
    </row>
    <row r="27" spans="1:25" ht="15.75" customHeight="1">
      <c r="A27" s="21" t="s">
        <v>167</v>
      </c>
      <c r="B27" s="16" t="str">
        <f>INDEX(C2:C22, MATCH($B$24, A2:A22, 0))</f>
        <v>Finance</v>
      </c>
      <c r="C27" s="6"/>
      <c r="D27" s="21" t="s">
        <v>113</v>
      </c>
      <c r="E27" s="16">
        <f t="shared" si="2"/>
        <v>5</v>
      </c>
      <c r="F27" s="6"/>
      <c r="G27" s="21" t="s">
        <v>113</v>
      </c>
      <c r="H27" s="6">
        <f t="shared" si="3"/>
        <v>431204</v>
      </c>
      <c r="I27" s="6"/>
      <c r="J27" s="6"/>
      <c r="K27" s="6"/>
      <c r="L27" s="6"/>
      <c r="M27" s="6"/>
      <c r="N27" s="6"/>
      <c r="O27" s="6"/>
      <c r="P27" s="6"/>
      <c r="Q27" s="6"/>
      <c r="R27" s="6"/>
      <c r="S27" s="6"/>
      <c r="T27" s="6"/>
      <c r="U27" s="6"/>
      <c r="V27" s="6"/>
      <c r="W27" s="6"/>
      <c r="X27" s="6"/>
      <c r="Y27" s="6"/>
    </row>
    <row r="28" spans="1:25" ht="15.75" customHeight="1">
      <c r="A28" s="16"/>
      <c r="B28" s="1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mergeCells count="3">
    <mergeCell ref="A23:B23"/>
    <mergeCell ref="D23:E23"/>
    <mergeCell ref="G23:H2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Students Grade</vt:lpstr>
      <vt:lpstr>Sales Data</vt:lpstr>
      <vt:lpstr>Vlookup Ref</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Krina Suthar</cp:lastModifiedBy>
  <dcterms:created xsi:type="dcterms:W3CDTF">2025-12-12T16:32:02Z</dcterms:created>
  <dcterms:modified xsi:type="dcterms:W3CDTF">2025-12-12T18:53:01Z</dcterms:modified>
</cp:coreProperties>
</file>