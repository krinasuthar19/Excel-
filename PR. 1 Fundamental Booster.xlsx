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rina\Downloads\"/>
    </mc:Choice>
  </mc:AlternateContent>
  <xr:revisionPtr revIDLastSave="0" documentId="13_ncr:1_{FFAF8E93-D4EA-4446-A54B-7E73FF790A00}" xr6:coauthVersionLast="47" xr6:coauthVersionMax="47" xr10:uidLastSave="{00000000-0000-0000-0000-000000000000}"/>
  <bookViews>
    <workbookView xWindow="-108" yWindow="-108" windowWidth="23256" windowHeight="12456" activeTab="2"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 i="3"/>
  <c r="K3" i="3"/>
  <c r="K4" i="3"/>
  <c r="K5" i="3"/>
  <c r="K6" i="3"/>
  <c r="K7" i="3"/>
  <c r="K8" i="3"/>
  <c r="K9" i="3"/>
  <c r="K10" i="3"/>
  <c r="K11" i="3"/>
  <c r="K12" i="3"/>
  <c r="K13" i="3"/>
  <c r="K14" i="3"/>
  <c r="K15" i="3"/>
  <c r="K16" i="3"/>
  <c r="K17" i="3"/>
  <c r="K18" i="3"/>
  <c r="K19" i="3"/>
  <c r="K20" i="3"/>
  <c r="K21" i="3"/>
  <c r="K2" i="3"/>
  <c r="J3" i="3"/>
  <c r="J4" i="3"/>
  <c r="J5" i="3"/>
  <c r="J6" i="3"/>
  <c r="J7" i="3"/>
  <c r="J8" i="3"/>
  <c r="J9" i="3"/>
  <c r="J10" i="3"/>
  <c r="J11" i="3"/>
  <c r="J12" i="3"/>
  <c r="J13" i="3"/>
  <c r="J14" i="3"/>
  <c r="J15" i="3"/>
  <c r="J16" i="3"/>
  <c r="J17" i="3"/>
  <c r="J18" i="3"/>
  <c r="J19" i="3"/>
  <c r="J20" i="3"/>
  <c r="J21" i="3"/>
  <c r="J2" i="3"/>
  <c r="I3" i="3"/>
  <c r="I4" i="3"/>
  <c r="I5" i="3"/>
  <c r="I6" i="3"/>
  <c r="I7" i="3"/>
  <c r="I8" i="3"/>
  <c r="I9" i="3"/>
  <c r="I10" i="3"/>
  <c r="I11" i="3"/>
  <c r="I12" i="3"/>
  <c r="I13" i="3"/>
  <c r="I14" i="3"/>
  <c r="I15" i="3"/>
  <c r="I16" i="3"/>
  <c r="I17" i="3"/>
  <c r="I18" i="3"/>
  <c r="I19" i="3"/>
  <c r="I20" i="3"/>
  <c r="I21" i="3"/>
  <c r="I2" i="3"/>
  <c r="M8" i="2"/>
  <c r="M5" i="2"/>
  <c r="M2" i="2"/>
  <c r="O2" i="2" a="1"/>
  <c r="O2" i="2" s="1"/>
  <c r="L22" i="2"/>
  <c r="L3" i="2"/>
  <c r="L4" i="2"/>
  <c r="L5" i="2"/>
  <c r="L6" i="2"/>
  <c r="L7" i="2"/>
  <c r="L8" i="2"/>
  <c r="L9" i="2"/>
  <c r="L10" i="2"/>
  <c r="L11" i="2"/>
  <c r="L12" i="2"/>
  <c r="L13" i="2"/>
  <c r="L14" i="2"/>
  <c r="L15" i="2"/>
  <c r="L16" i="2"/>
  <c r="L17" i="2"/>
  <c r="L18" i="2"/>
  <c r="L19" i="2"/>
  <c r="L20" i="2"/>
  <c r="L21" i="2"/>
  <c r="L2" i="2"/>
  <c r="J21" i="2"/>
  <c r="I21" i="2" s="1"/>
  <c r="H3" i="2"/>
  <c r="J3" i="2" s="1"/>
  <c r="I3" i="2" s="1"/>
  <c r="H4" i="2"/>
  <c r="J4" i="2" s="1"/>
  <c r="I4" i="2" s="1"/>
  <c r="H5" i="2"/>
  <c r="J5" i="2" s="1"/>
  <c r="I5" i="2" s="1"/>
  <c r="H6" i="2"/>
  <c r="J6" i="2" s="1"/>
  <c r="I6" i="2" s="1"/>
  <c r="H7" i="2"/>
  <c r="J7" i="2" s="1"/>
  <c r="I7" i="2" s="1"/>
  <c r="H8" i="2"/>
  <c r="J8" i="2" s="1"/>
  <c r="I8" i="2" s="1"/>
  <c r="H9" i="2"/>
  <c r="J9" i="2" s="1"/>
  <c r="I9" i="2" s="1"/>
  <c r="H10" i="2"/>
  <c r="J10" i="2" s="1"/>
  <c r="I10" i="2" s="1"/>
  <c r="H11" i="2"/>
  <c r="J11" i="2" s="1"/>
  <c r="I11" i="2" s="1"/>
  <c r="H12" i="2"/>
  <c r="J12" i="2" s="1"/>
  <c r="I12" i="2" s="1"/>
  <c r="H13" i="2"/>
  <c r="J13" i="2" s="1"/>
  <c r="I13" i="2" s="1"/>
  <c r="H14" i="2"/>
  <c r="J14" i="2" s="1"/>
  <c r="I14" i="2" s="1"/>
  <c r="H15" i="2"/>
  <c r="J15" i="2" s="1"/>
  <c r="I15" i="2" s="1"/>
  <c r="H16" i="2"/>
  <c r="J16" i="2" s="1"/>
  <c r="I16" i="2" s="1"/>
  <c r="H17" i="2"/>
  <c r="J17" i="2" s="1"/>
  <c r="I17" i="2" s="1"/>
  <c r="H18" i="2"/>
  <c r="J18" i="2" s="1"/>
  <c r="I18" i="2" s="1"/>
  <c r="H19" i="2"/>
  <c r="J19" i="2" s="1"/>
  <c r="I19" i="2" s="1"/>
  <c r="H20" i="2"/>
  <c r="J20" i="2" s="1"/>
  <c r="I20" i="2" s="1"/>
  <c r="H21" i="2"/>
  <c r="H2" i="2"/>
  <c r="J2" i="2" s="1"/>
  <c r="I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<sst xmlns="http://schemas.openxmlformats.org/spreadsheetml/2006/main" count="187" uniqueCount="139">
  <si>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</si>
  <si>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</si>
  <si>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</si>
  <si>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</si>
  <si>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</si>
  <si>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</si>
  <si>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</si>
  <si>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</si>
  <si>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</si>
  <si>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</si>
  <si>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</si>
  <si>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</si>
  <si>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</si>
  <si>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</si>
  <si>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</si>
  <si>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</si>
  <si>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</si>
  <si>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</si>
  <si>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</si>
  <si>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</si>
  <si>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</si>
  <si>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</si>
  <si>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</si>
  <si>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</si>
  <si>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</si>
  <si>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</si>
  <si>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</si>
  <si>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</si>
  <si>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</si>
  <si>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</si>
  <si>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</si>
  <si>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</si>
  <si>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</si>
  <si>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</si>
  <si>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</si>
  <si>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</si>
  <si>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</si>
  <si>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</si>
  <si>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</si>
  <si>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</si>
  <si>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</si>
  <si>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</si>
  <si>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</si>
  <si>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</si>
  <si>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</si>
  <si>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</si>
  <si>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</si>
  <si>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</si>
  <si>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</si>
  <si>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</si>
  <si>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</si>
  <si>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</si>
  <si>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</si>
  <si>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</si>
  <si>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</si>
  <si>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</si>
  <si>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</si>
  <si>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</si>
  <si>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</si>
  <si>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</si>
  <si>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</si>
  <si>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</si>
  <si>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</si>
  <si>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</si>
  <si>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</si>
  <si>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</si>
  <si>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</si>
  <si>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</si>
  <si>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</si>
  <si>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</si>
  <si>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</si>
  <si>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</si>
  <si>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</si>
  <si>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</si>
  <si>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</si>
  <si>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</si>
  <si>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</si>
  <si>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</si>
  <si>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</si>
  <si>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</si>
  <si>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</si>
  <si>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</si>
  <si>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</si>
  <si>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</si>
  <si>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</si>
  <si>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</si>
  <si>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</si>
  <si>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</si>
  <si>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</si>
  <si>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</si>
  <si>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</si>
  <si>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</si>
  <si>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</si>
  <si>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</si>
  <si>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</si>
  <si>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</si>
  <si>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</si>
  <si>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</si>
  <si>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</si>
  <si>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</si>
  <si>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</si>
  <si>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</si>
  <si>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</si>
  <si>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</si>
  <si>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</si>
  <si>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</si>
  <si>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</si>
  <si>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</si>
  <si>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</si>
  <si>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</si>
  <si>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</si>
  <si>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</si>
  <si>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</si>
  <si>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</si>
  <si>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</si>
  <si>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</si>
  <si>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</si>
  <si>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</si>
  <si>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</si>
  <si>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</si>
  <si>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</si>
  <si>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</si>
  <si>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</si>
  <si>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</si>
  <si>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</si>
  <si>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</si>
  <si>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</si>
  <si>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</si>
  <si>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</si>
  <si>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</si>
  <si>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 Marks</t>
  </si>
  <si>
    <t>Grade</t>
  </si>
  <si>
    <t>Percentage</t>
  </si>
  <si>
    <t>Students scoring above 60%</t>
  </si>
  <si>
    <t>Students scoring more than 80 in Maths and Science</t>
  </si>
  <si>
    <t>Students scoring More than 50 in maths</t>
  </si>
  <si>
    <t>Avegrage score of students have more then 60%</t>
  </si>
  <si>
    <t>Top performing students</t>
  </si>
  <si>
    <t>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</si>
</sst>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1">
    <font>
      <sz val="11"/>
      <color theme="1"/>
      <name val="Calibri"/>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b/>
      <sz val="11"/>
      <color rgb="FF000000"/>
      <name val="Calibri"/>
      <family val="2"/>
    </font>
  </fonts>
  <fills count="6">
    <fill>
      <patternFill patternType="none"/>
    </fill>
    <fill>
      <patternFill patternType="gray125"/>
    </fill>
    <fill>
      <patternFill patternType="solid">
        <fgColor rgb="FFFFF2CC"/>
        <bgColor rgb="FFFFF2CC"/>
      </patternFill>
    </fill>
    <fill>
      <patternFill patternType="solid">
        <fgColor rgb="FFFFF2CC"/>
        <bgColor indexed="64"/>
      </patternFill>
    </fill>
    <fill>
      <patternFill patternType="solid">
        <fgColor theme="0"/>
        <bgColor rgb="FFFFF2CC"/>
      </patternFill>
    </fill>
    <fill>
      <patternFill patternType="solid">
        <fgColor rgb="FFFFC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1" fillId="2" borderId="1" xfId="0" applyFont="1" applyFill="1" applyBorder="1" applyAlignment="1">
      <alignment horizontal="center" vertical="center"/>
    </xf>
    <xf numFmtId="0" fontId="2" fillId="0" borderId="0" xfId="0" applyFont="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6" fillId="0" borderId="1" xfId="0" applyFont="1" applyBorder="1" applyAlignment="1">
      <alignment vertical="center" wrapText="1"/>
    </xf>
    <xf numFmtId="9" fontId="2" fillId="0" borderId="0" xfId="1" applyFont="1" applyAlignment="1">
      <alignment horizontal="center" vertical="center"/>
    </xf>
    <xf numFmtId="0" fontId="9" fillId="3" borderId="0" xfId="0" applyFont="1" applyFill="1" applyAlignment="1">
      <alignment horizontal="center" vertical="center"/>
    </xf>
    <xf numFmtId="0" fontId="10" fillId="2"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wrapText="1"/>
    </xf>
    <xf numFmtId="0" fontId="10" fillId="4" borderId="0" xfId="0" applyFont="1" applyFill="1" applyBorder="1" applyAlignment="1">
      <alignment horizontal="center" vertical="center"/>
    </xf>
    <xf numFmtId="0" fontId="4" fillId="2" borderId="3" xfId="0" applyFont="1" applyFill="1" applyBorder="1" applyAlignment="1">
      <alignment horizontal="center" vertical="center"/>
    </xf>
    <xf numFmtId="164" fontId="3" fillId="0" borderId="4" xfId="0" applyNumberFormat="1" applyFont="1" applyBorder="1" applyAlignment="1">
      <alignment horizontal="center" vertical="center"/>
    </xf>
    <xf numFmtId="0" fontId="0" fillId="0" borderId="0" xfId="0" applyAlignment="1">
      <alignment horizontal="center" vertical="center"/>
    </xf>
    <xf numFmtId="0" fontId="2" fillId="5" borderId="0" xfId="0" applyFont="1" applyFill="1" applyAlignment="1">
      <alignment horizontal="center" vertical="center"/>
    </xf>
    <xf numFmtId="0" fontId="9" fillId="3" borderId="2" xfId="0" applyFont="1" applyFill="1" applyBorder="1" applyAlignment="1">
      <alignment horizontal="center" vertical="center"/>
    </xf>
    <xf numFmtId="0" fontId="2" fillId="3" borderId="2"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3" workbookViewId="0">
      <selection activeCell="A55" sqref="A55:A56"/>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ht="362.4" customHeight="1">
      <c r="A2" s="9"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3" t="s">
        <v>3</v>
      </c>
      <c r="B6" s="2"/>
      <c r="C6" s="2"/>
      <c r="D6" s="2"/>
      <c r="E6" s="2"/>
      <c r="F6" s="2"/>
      <c r="G6" s="2"/>
      <c r="H6" s="2"/>
      <c r="I6" s="2"/>
      <c r="J6" s="2"/>
      <c r="K6" s="2"/>
      <c r="L6" s="2"/>
      <c r="M6" s="2"/>
      <c r="N6" s="2"/>
      <c r="O6" s="2"/>
      <c r="P6" s="2"/>
      <c r="Q6" s="2"/>
      <c r="R6" s="2"/>
      <c r="S6" s="2"/>
      <c r="T6" s="2"/>
      <c r="U6" s="2"/>
      <c r="V6" s="2"/>
      <c r="W6" s="2"/>
      <c r="X6" s="2"/>
      <c r="Y6" s="2"/>
      <c r="Z6" s="2"/>
    </row>
    <row r="7" spans="1:26">
      <c r="A7" s="4" t="s">
        <v>4</v>
      </c>
      <c r="B7" s="2"/>
      <c r="C7" s="2"/>
      <c r="D7" s="2"/>
      <c r="E7" s="2"/>
      <c r="F7" s="2"/>
      <c r="G7" s="2"/>
      <c r="H7" s="2"/>
      <c r="I7" s="2"/>
      <c r="J7" s="2"/>
      <c r="K7" s="2"/>
      <c r="L7" s="2"/>
      <c r="M7" s="2"/>
      <c r="N7" s="2"/>
      <c r="O7" s="2"/>
      <c r="P7" s="2"/>
      <c r="Q7" s="2"/>
      <c r="R7" s="2"/>
      <c r="S7" s="2"/>
      <c r="T7" s="2"/>
      <c r="U7" s="2"/>
      <c r="V7" s="2"/>
      <c r="W7" s="2"/>
      <c r="X7" s="2"/>
      <c r="Y7" s="2"/>
      <c r="Z7" s="2"/>
    </row>
    <row r="8" spans="1:26">
      <c r="A8" s="4" t="s">
        <v>5</v>
      </c>
      <c r="B8" s="2"/>
      <c r="C8" s="2"/>
      <c r="D8" s="2"/>
      <c r="E8" s="2"/>
      <c r="F8" s="2"/>
      <c r="G8" s="2"/>
      <c r="H8" s="2"/>
      <c r="I8" s="2"/>
      <c r="J8" s="2"/>
      <c r="K8" s="2"/>
      <c r="L8" s="2"/>
      <c r="M8" s="2"/>
      <c r="N8" s="2"/>
      <c r="O8" s="2"/>
      <c r="P8" s="2"/>
      <c r="Q8" s="2"/>
      <c r="R8" s="2"/>
      <c r="S8" s="2"/>
      <c r="T8" s="2"/>
      <c r="U8" s="2"/>
      <c r="V8" s="2"/>
      <c r="W8" s="2"/>
      <c r="X8" s="2"/>
      <c r="Y8" s="2"/>
      <c r="Z8" s="2"/>
    </row>
    <row r="9" spans="1:26">
      <c r="A9" s="4"/>
      <c r="B9" s="2"/>
      <c r="C9" s="2"/>
      <c r="D9" s="2"/>
      <c r="E9" s="2"/>
      <c r="F9" s="2"/>
      <c r="G9" s="2"/>
      <c r="H9" s="2"/>
      <c r="I9" s="2"/>
      <c r="J9" s="2"/>
      <c r="K9" s="2"/>
      <c r="L9" s="2"/>
      <c r="M9" s="2"/>
      <c r="N9" s="2"/>
      <c r="O9" s="2"/>
      <c r="P9" s="2"/>
      <c r="Q9" s="2"/>
      <c r="R9" s="2"/>
      <c r="S9" s="2"/>
      <c r="T9" s="2"/>
      <c r="U9" s="2"/>
      <c r="V9" s="2"/>
      <c r="W9" s="2"/>
      <c r="X9" s="2"/>
      <c r="Y9" s="2"/>
      <c r="Z9" s="2"/>
    </row>
    <row r="10" spans="1:26">
      <c r="A10" s="3"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4"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4"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4"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3"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4"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4"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4"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3"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4"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4"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3"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4"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4"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3"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4"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4"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3"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4"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4"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3"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4"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3"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4"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3"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4"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3"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4"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4"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3"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4"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3"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4"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3" workbookViewId="0">
      <selection activeCell="M12" sqref="M12"/>
    </sheetView>
  </sheetViews>
  <sheetFormatPr defaultColWidth="14.44140625" defaultRowHeight="15" customHeight="1"/>
  <cols>
    <col min="1" max="1" width="10.33203125" customWidth="1"/>
    <col min="2" max="2" width="10.44140625" customWidth="1"/>
    <col min="3" max="3" width="5.88671875" customWidth="1"/>
    <col min="4" max="4" width="7.5546875" customWidth="1"/>
    <col min="5" max="5" width="7.33203125" customWidth="1"/>
    <col min="6" max="6" width="18.88671875" customWidth="1"/>
    <col min="7" max="7" width="8.6640625" customWidth="1"/>
    <col min="8" max="8" width="10.33203125" customWidth="1"/>
    <col min="9" max="9" width="8.44140625" customWidth="1"/>
    <col min="10" max="10" width="11.21875" customWidth="1"/>
    <col min="12" max="12" width="20.21875" customWidth="1"/>
    <col min="13" max="13" width="18.33203125" customWidth="1"/>
    <col min="14" max="26" width="8.6640625" customWidth="1"/>
  </cols>
  <sheetData>
    <row r="1" spans="1:26" ht="39.6" customHeight="1">
      <c r="A1" s="5" t="s">
        <v>41</v>
      </c>
      <c r="B1" s="5" t="s">
        <v>42</v>
      </c>
      <c r="C1" s="5" t="s">
        <v>43</v>
      </c>
      <c r="D1" s="5" t="s">
        <v>44</v>
      </c>
      <c r="E1" s="16" t="s">
        <v>45</v>
      </c>
      <c r="F1" s="12" t="s">
        <v>46</v>
      </c>
      <c r="G1" s="15"/>
      <c r="H1" s="13" t="s">
        <v>130</v>
      </c>
      <c r="I1" s="13" t="s">
        <v>131</v>
      </c>
      <c r="J1" s="13" t="s">
        <v>132</v>
      </c>
      <c r="L1" s="14" t="s">
        <v>134</v>
      </c>
      <c r="M1" s="14" t="s">
        <v>133</v>
      </c>
      <c r="N1" s="6"/>
      <c r="O1" s="20" t="s">
        <v>137</v>
      </c>
      <c r="P1" s="21"/>
      <c r="Q1" s="21"/>
      <c r="R1" s="21"/>
      <c r="S1" s="6"/>
      <c r="T1" s="6"/>
      <c r="U1" s="6"/>
      <c r="V1" s="6"/>
      <c r="W1" s="6"/>
      <c r="X1" s="6"/>
      <c r="Y1" s="6"/>
      <c r="Z1" s="6"/>
    </row>
    <row r="2" spans="1:26" ht="14.4">
      <c r="A2" s="7">
        <v>1001</v>
      </c>
      <c r="B2" s="7" t="s">
        <v>47</v>
      </c>
      <c r="C2" s="7">
        <v>61</v>
      </c>
      <c r="D2" s="7">
        <v>48</v>
      </c>
      <c r="E2" s="7">
        <v>76</v>
      </c>
      <c r="F2" s="17">
        <v>43101</v>
      </c>
      <c r="G2" s="6"/>
      <c r="H2" s="6">
        <f>SUM(C2:E2)</f>
        <v>185</v>
      </c>
      <c r="I2" s="6" t="str">
        <f>IF(J2&gt;=0.9,"A",IF(J2&gt;=0.75,"B",IF(J2&gt;=0.6,"C",IF(J2&gt;=0.4,"D","F"))))</f>
        <v>C</v>
      </c>
      <c r="J2" s="10">
        <f>(H2/300)</f>
        <v>0.6166666666666667</v>
      </c>
      <c r="L2" s="18" t="str">
        <f>IF(AND(C2&gt;=80, D2&gt;=80),"YES","NO")</f>
        <v>NO</v>
      </c>
      <c r="M2" s="6">
        <f>COUNTIFS(J:J,"&gt;0.6")</f>
        <v>16</v>
      </c>
      <c r="O2" s="6" cm="1">
        <f t="array" ref="O2:R3">_xlfn._xlws.FILTER(CHOOSE({1,2,3,4}, A2:A100, B2:B100, J2:J100, I2:I100), J2:J100&gt;0.8, "No students above 80%")</f>
        <v>1012</v>
      </c>
      <c r="P2" s="6" t="str">
        <v>Student 12</v>
      </c>
      <c r="Q2" s="10">
        <v>0.84333333333333338</v>
      </c>
      <c r="R2" s="6" t="str">
        <v>B</v>
      </c>
      <c r="S2" s="6"/>
      <c r="T2" s="6"/>
      <c r="U2" s="6"/>
      <c r="V2" s="6"/>
      <c r="W2" s="6"/>
      <c r="X2" s="6"/>
      <c r="Y2" s="6"/>
      <c r="Z2" s="6"/>
    </row>
    <row r="3" spans="1:26" ht="14.4">
      <c r="A3" s="7">
        <v>1002</v>
      </c>
      <c r="B3" s="7" t="s">
        <v>48</v>
      </c>
      <c r="C3" s="7">
        <v>78</v>
      </c>
      <c r="D3" s="7">
        <v>76</v>
      </c>
      <c r="E3" s="7">
        <v>70</v>
      </c>
      <c r="F3" s="8">
        <v>43281</v>
      </c>
      <c r="G3" s="6"/>
      <c r="H3" s="6">
        <f t="shared" ref="G3:H21" si="0">SUM(C3:E3)</f>
        <v>224</v>
      </c>
      <c r="I3" s="6" t="str">
        <f t="shared" ref="I3:I21" si="1">IF(J3&gt;=0.9,"A",IF(J3&gt;=0.75,"B",IF(J3&gt;=0.6,"C",IF(J3&gt;=0.4,"D","F"))))</f>
        <v>C</v>
      </c>
      <c r="J3" s="10">
        <f t="shared" ref="J3:J21" si="2">(H3/300)</f>
        <v>0.7466666666666667</v>
      </c>
      <c r="L3" s="18" t="str">
        <f>IF(AND(C3&gt;=80, D3&gt;=80),"YES","NO")</f>
        <v>NO</v>
      </c>
      <c r="M3" s="6"/>
      <c r="O3" s="6">
        <v>1013</v>
      </c>
      <c r="P3" s="6" t="str">
        <v>Student 13</v>
      </c>
      <c r="Q3" s="10">
        <v>0.95</v>
      </c>
      <c r="R3" s="6" t="str">
        <v>A</v>
      </c>
      <c r="S3" s="6"/>
      <c r="T3" s="6"/>
      <c r="U3" s="6"/>
      <c r="V3" s="6"/>
      <c r="W3" s="6"/>
      <c r="X3" s="6"/>
      <c r="Y3" s="6"/>
      <c r="Z3" s="6"/>
    </row>
    <row r="4" spans="1:26" ht="43.2">
      <c r="A4" s="7">
        <v>1003</v>
      </c>
      <c r="B4" s="7" t="s">
        <v>49</v>
      </c>
      <c r="C4" s="7">
        <v>97</v>
      </c>
      <c r="D4" s="7">
        <v>60</v>
      </c>
      <c r="E4" s="7">
        <v>51</v>
      </c>
      <c r="F4" s="8">
        <v>43461</v>
      </c>
      <c r="G4" s="6"/>
      <c r="H4" s="6">
        <f t="shared" si="0"/>
        <v>208</v>
      </c>
      <c r="I4" s="6" t="str">
        <f t="shared" si="1"/>
        <v>C</v>
      </c>
      <c r="J4" s="10">
        <f t="shared" si="2"/>
        <v>0.69333333333333336</v>
      </c>
      <c r="L4" s="18" t="str">
        <f>IF(AND(C4&gt;=80, D4&gt;=80),"YES","NO")</f>
        <v>NO</v>
      </c>
      <c r="M4" s="14" t="s">
        <v>135</v>
      </c>
      <c r="N4" s="6"/>
      <c r="O4" s="6"/>
      <c r="P4" s="6"/>
      <c r="Q4" s="6"/>
      <c r="R4" s="6"/>
      <c r="S4" s="6"/>
      <c r="T4" s="6"/>
      <c r="U4" s="6"/>
      <c r="V4" s="6"/>
      <c r="W4" s="6"/>
      <c r="X4" s="6"/>
      <c r="Y4" s="6"/>
      <c r="Z4" s="6"/>
    </row>
    <row r="5" spans="1:26" ht="14.4">
      <c r="A5" s="7">
        <v>1004</v>
      </c>
      <c r="B5" s="7" t="s">
        <v>50</v>
      </c>
      <c r="C5" s="7">
        <v>74</v>
      </c>
      <c r="D5" s="7">
        <v>55</v>
      </c>
      <c r="E5" s="7">
        <v>46</v>
      </c>
      <c r="F5" s="8">
        <v>43641</v>
      </c>
      <c r="G5" s="6"/>
      <c r="H5" s="6">
        <f t="shared" si="0"/>
        <v>175</v>
      </c>
      <c r="I5" s="6" t="str">
        <f t="shared" si="1"/>
        <v>D</v>
      </c>
      <c r="J5" s="10">
        <f t="shared" si="2"/>
        <v>0.58333333333333337</v>
      </c>
      <c r="L5" s="18" t="str">
        <f>IF(AND(C5&gt;=80, D5&gt;=80),"YES","NO")</f>
        <v>NO</v>
      </c>
      <c r="M5" s="6">
        <f>COUNTIFS(C2:C21,"&gt;50")</f>
        <v>19</v>
      </c>
      <c r="N5" s="6"/>
      <c r="O5" s="6"/>
      <c r="P5" s="6"/>
      <c r="Q5" s="6"/>
      <c r="R5" s="6"/>
      <c r="S5" s="6"/>
      <c r="T5" s="6"/>
      <c r="U5" s="6"/>
      <c r="V5" s="6"/>
      <c r="W5" s="6"/>
      <c r="X5" s="6"/>
      <c r="Y5" s="6"/>
      <c r="Z5" s="6"/>
    </row>
    <row r="6" spans="1:26" ht="14.4">
      <c r="A6" s="7">
        <v>1005</v>
      </c>
      <c r="B6" s="7" t="s">
        <v>51</v>
      </c>
      <c r="C6" s="7">
        <v>68</v>
      </c>
      <c r="D6" s="7">
        <v>74</v>
      </c>
      <c r="E6" s="7">
        <v>84</v>
      </c>
      <c r="F6" s="8">
        <v>43821</v>
      </c>
      <c r="G6" s="6"/>
      <c r="H6" s="6">
        <f t="shared" si="0"/>
        <v>226</v>
      </c>
      <c r="I6" s="6" t="str">
        <f t="shared" si="1"/>
        <v>B</v>
      </c>
      <c r="J6" s="10">
        <f t="shared" si="2"/>
        <v>0.7533333333333333</v>
      </c>
      <c r="L6" s="18" t="str">
        <f>IF(AND(C6&gt;=80, D6&gt;=80),"YES","NO")</f>
        <v>NO</v>
      </c>
      <c r="M6" s="6"/>
      <c r="N6" s="6"/>
      <c r="O6" s="6"/>
      <c r="P6" s="6"/>
      <c r="Q6" s="6"/>
      <c r="R6" s="6"/>
      <c r="S6" s="6"/>
      <c r="T6" s="6"/>
      <c r="U6" s="6"/>
      <c r="V6" s="6"/>
      <c r="W6" s="6"/>
      <c r="X6" s="6"/>
      <c r="Y6" s="6"/>
      <c r="Z6" s="6"/>
    </row>
    <row r="7" spans="1:26" ht="43.2">
      <c r="A7" s="7">
        <v>1006</v>
      </c>
      <c r="B7" s="7" t="s">
        <v>52</v>
      </c>
      <c r="C7" s="7">
        <v>80</v>
      </c>
      <c r="D7" s="7">
        <v>70</v>
      </c>
      <c r="E7" s="7">
        <v>65</v>
      </c>
      <c r="F7" s="8">
        <v>44001</v>
      </c>
      <c r="G7" s="6"/>
      <c r="H7" s="6">
        <f t="shared" si="0"/>
        <v>215</v>
      </c>
      <c r="I7" s="6" t="str">
        <f t="shared" si="1"/>
        <v>C</v>
      </c>
      <c r="J7" s="10">
        <f t="shared" si="2"/>
        <v>0.71666666666666667</v>
      </c>
      <c r="L7" s="18" t="str">
        <f>IF(AND(C7&gt;=80, D7&gt;=80),"YES","NO")</f>
        <v>NO</v>
      </c>
      <c r="M7" s="14" t="s">
        <v>136</v>
      </c>
      <c r="N7" s="6"/>
      <c r="O7" s="6"/>
      <c r="P7" s="6"/>
      <c r="Q7" s="6"/>
      <c r="R7" s="6"/>
      <c r="S7" s="6"/>
      <c r="T7" s="6"/>
      <c r="U7" s="6"/>
      <c r="V7" s="6"/>
      <c r="W7" s="6"/>
      <c r="X7" s="6"/>
      <c r="Y7" s="6"/>
      <c r="Z7" s="6"/>
    </row>
    <row r="8" spans="1:26" ht="14.4">
      <c r="A8" s="7">
        <v>1007</v>
      </c>
      <c r="B8" s="7" t="s">
        <v>53</v>
      </c>
      <c r="C8" s="7">
        <v>75</v>
      </c>
      <c r="D8" s="7">
        <v>47</v>
      </c>
      <c r="E8" s="7">
        <v>78</v>
      </c>
      <c r="F8" s="8">
        <v>44181</v>
      </c>
      <c r="G8" s="6"/>
      <c r="H8" s="6">
        <f t="shared" si="0"/>
        <v>200</v>
      </c>
      <c r="I8" s="6" t="str">
        <f t="shared" si="1"/>
        <v>C</v>
      </c>
      <c r="J8" s="10">
        <f t="shared" si="2"/>
        <v>0.66666666666666663</v>
      </c>
      <c r="L8" s="18" t="str">
        <f>IF(AND(C8&gt;=80, D8&gt;=80),"YES","NO")</f>
        <v>NO</v>
      </c>
      <c r="M8" s="10">
        <f>AVERAGEIF(J2:J21,"&gt;0.6")</f>
        <v>0.73625000000000007</v>
      </c>
      <c r="N8" s="6"/>
      <c r="O8" s="6"/>
      <c r="P8" s="6"/>
      <c r="Q8" s="6"/>
      <c r="R8" s="6"/>
      <c r="S8" s="6"/>
      <c r="T8" s="6"/>
      <c r="U8" s="6"/>
      <c r="V8" s="6"/>
      <c r="W8" s="6"/>
      <c r="X8" s="6"/>
      <c r="Y8" s="6"/>
      <c r="Z8" s="6"/>
    </row>
    <row r="9" spans="1:26" ht="14.4">
      <c r="A9" s="7">
        <v>1008</v>
      </c>
      <c r="B9" s="7" t="s">
        <v>54</v>
      </c>
      <c r="C9" s="7">
        <v>94</v>
      </c>
      <c r="D9" s="7">
        <v>67</v>
      </c>
      <c r="E9" s="7">
        <v>64</v>
      </c>
      <c r="F9" s="8">
        <v>44361</v>
      </c>
      <c r="G9" s="6"/>
      <c r="H9" s="6">
        <f t="shared" si="0"/>
        <v>225</v>
      </c>
      <c r="I9" s="6" t="str">
        <f t="shared" si="1"/>
        <v>B</v>
      </c>
      <c r="J9" s="10">
        <f t="shared" si="2"/>
        <v>0.75</v>
      </c>
      <c r="L9" s="18" t="str">
        <f>IF(AND(C9&gt;=80, D9&gt;=80),"YES","NO")</f>
        <v>NO</v>
      </c>
      <c r="M9" s="6"/>
      <c r="N9" s="6"/>
      <c r="O9" s="6"/>
      <c r="P9" s="6"/>
      <c r="Q9" s="6"/>
      <c r="R9" s="6"/>
      <c r="S9" s="6"/>
      <c r="T9" s="6"/>
      <c r="U9" s="6"/>
      <c r="V9" s="6"/>
      <c r="W9" s="6"/>
      <c r="X9" s="6"/>
      <c r="Y9" s="6"/>
      <c r="Z9" s="6"/>
    </row>
    <row r="10" spans="1:26" ht="14.4">
      <c r="A10" s="7">
        <v>1009</v>
      </c>
      <c r="B10" s="7" t="s">
        <v>55</v>
      </c>
      <c r="C10" s="7">
        <v>41</v>
      </c>
      <c r="D10" s="7">
        <v>75</v>
      </c>
      <c r="E10" s="7">
        <v>56</v>
      </c>
      <c r="F10" s="8">
        <v>44541</v>
      </c>
      <c r="G10" s="6"/>
      <c r="H10" s="6">
        <f t="shared" si="0"/>
        <v>172</v>
      </c>
      <c r="I10" s="6" t="str">
        <f t="shared" si="1"/>
        <v>D</v>
      </c>
      <c r="J10" s="10">
        <f t="shared" si="2"/>
        <v>0.57333333333333336</v>
      </c>
      <c r="L10" s="18" t="str">
        <f>IF(AND(C10&gt;=80, D10&gt;=80),"YES","NO")</f>
        <v>NO</v>
      </c>
      <c r="M10" s="6"/>
      <c r="N10" s="6"/>
      <c r="O10" s="6"/>
      <c r="P10" s="6"/>
      <c r="Q10" s="6"/>
      <c r="R10" s="6"/>
      <c r="S10" s="6"/>
      <c r="T10" s="6"/>
      <c r="U10" s="6"/>
      <c r="V10" s="6"/>
      <c r="W10" s="6"/>
      <c r="X10" s="6"/>
      <c r="Y10" s="6"/>
      <c r="Z10" s="6"/>
    </row>
    <row r="11" spans="1:26" ht="14.4">
      <c r="A11" s="7">
        <v>1010</v>
      </c>
      <c r="B11" s="7" t="s">
        <v>56</v>
      </c>
      <c r="C11" s="7">
        <v>98</v>
      </c>
      <c r="D11" s="7">
        <v>54</v>
      </c>
      <c r="E11" s="7">
        <v>58</v>
      </c>
      <c r="F11" s="8">
        <v>44721</v>
      </c>
      <c r="G11" s="6"/>
      <c r="H11" s="6">
        <f t="shared" si="0"/>
        <v>210</v>
      </c>
      <c r="I11" s="6" t="str">
        <f t="shared" si="1"/>
        <v>C</v>
      </c>
      <c r="J11" s="10">
        <f t="shared" si="2"/>
        <v>0.7</v>
      </c>
      <c r="L11" s="18" t="str">
        <f>IF(AND(C11&gt;=80, D11&gt;=80),"YES","NO")</f>
        <v>NO</v>
      </c>
      <c r="M11" s="6"/>
      <c r="N11" s="6"/>
      <c r="O11" s="6"/>
      <c r="P11" s="6"/>
      <c r="Q11" s="6"/>
      <c r="R11" s="6"/>
      <c r="S11" s="6"/>
      <c r="T11" s="6"/>
      <c r="U11" s="6"/>
      <c r="V11" s="6"/>
      <c r="W11" s="6"/>
      <c r="X11" s="6"/>
      <c r="Y11" s="6"/>
      <c r="Z11" s="6"/>
    </row>
    <row r="12" spans="1:26" ht="14.4">
      <c r="A12" s="7">
        <v>1011</v>
      </c>
      <c r="B12" s="7" t="s">
        <v>57</v>
      </c>
      <c r="C12" s="7">
        <v>73</v>
      </c>
      <c r="D12" s="7">
        <v>79</v>
      </c>
      <c r="E12" s="7">
        <v>53</v>
      </c>
      <c r="F12" s="8">
        <v>44901</v>
      </c>
      <c r="G12" s="6"/>
      <c r="H12" s="6">
        <f t="shared" si="0"/>
        <v>205</v>
      </c>
      <c r="I12" s="6" t="str">
        <f t="shared" si="1"/>
        <v>C</v>
      </c>
      <c r="J12" s="10">
        <f t="shared" si="2"/>
        <v>0.68333333333333335</v>
      </c>
      <c r="L12" s="18" t="str">
        <f>IF(AND(C12&gt;=80, D12&gt;=80),"YES","NO")</f>
        <v>NO</v>
      </c>
      <c r="M12" s="6"/>
      <c r="N12" s="6"/>
      <c r="O12" s="6"/>
      <c r="P12" s="6"/>
      <c r="Q12" s="6"/>
      <c r="R12" s="6"/>
      <c r="S12" s="6"/>
      <c r="T12" s="6"/>
      <c r="U12" s="6"/>
      <c r="V12" s="6"/>
      <c r="W12" s="6"/>
      <c r="X12" s="6"/>
      <c r="Y12" s="6"/>
      <c r="Z12" s="6"/>
    </row>
    <row r="13" spans="1:26" ht="14.4">
      <c r="A13" s="7">
        <v>1012</v>
      </c>
      <c r="B13" s="7" t="s">
        <v>58</v>
      </c>
      <c r="C13" s="7">
        <v>85</v>
      </c>
      <c r="D13" s="7">
        <v>89</v>
      </c>
      <c r="E13" s="7">
        <v>79</v>
      </c>
      <c r="F13" s="8">
        <v>45081</v>
      </c>
      <c r="G13" s="6"/>
      <c r="H13" s="6">
        <f t="shared" si="0"/>
        <v>253</v>
      </c>
      <c r="I13" s="6" t="str">
        <f t="shared" si="1"/>
        <v>B</v>
      </c>
      <c r="J13" s="10">
        <f t="shared" si="2"/>
        <v>0.84333333333333338</v>
      </c>
      <c r="L13" s="18" t="str">
        <f>IF(AND(C13&gt;=80, D13&gt;=80),"YES","NO")</f>
        <v>YES</v>
      </c>
      <c r="M13" s="6"/>
      <c r="N13" s="6"/>
      <c r="O13" s="6"/>
      <c r="P13" s="6"/>
      <c r="Q13" s="6"/>
      <c r="R13" s="6"/>
      <c r="S13" s="6"/>
      <c r="T13" s="6"/>
      <c r="U13" s="6"/>
      <c r="V13" s="6"/>
      <c r="W13" s="6"/>
      <c r="X13" s="6"/>
      <c r="Y13" s="6"/>
      <c r="Z13" s="6"/>
    </row>
    <row r="14" spans="1:26" ht="14.4">
      <c r="A14" s="7">
        <v>1013</v>
      </c>
      <c r="B14" s="7" t="s">
        <v>59</v>
      </c>
      <c r="C14" s="7">
        <v>98</v>
      </c>
      <c r="D14" s="7">
        <v>90</v>
      </c>
      <c r="E14" s="7">
        <v>97</v>
      </c>
      <c r="F14" s="8">
        <v>45261</v>
      </c>
      <c r="G14" s="6"/>
      <c r="H14" s="6">
        <f t="shared" si="0"/>
        <v>285</v>
      </c>
      <c r="I14" s="6" t="str">
        <f t="shared" si="1"/>
        <v>A</v>
      </c>
      <c r="J14" s="10">
        <f t="shared" si="2"/>
        <v>0.95</v>
      </c>
      <c r="L14" s="18" t="str">
        <f>IF(AND(C14&gt;=80, D14&gt;=80),"YES","NO")</f>
        <v>YES</v>
      </c>
      <c r="M14" s="6"/>
      <c r="N14" s="6"/>
      <c r="O14" s="6"/>
      <c r="P14" s="6"/>
      <c r="Q14" s="6"/>
      <c r="R14" s="6"/>
      <c r="S14" s="6"/>
      <c r="T14" s="6"/>
      <c r="U14" s="6"/>
      <c r="V14" s="6"/>
      <c r="W14" s="6"/>
      <c r="X14" s="6"/>
      <c r="Y14" s="6"/>
      <c r="Z14" s="6"/>
    </row>
    <row r="15" spans="1:26" ht="14.4">
      <c r="A15" s="7">
        <v>1014</v>
      </c>
      <c r="B15" s="7" t="s">
        <v>60</v>
      </c>
      <c r="C15" s="7">
        <v>93</v>
      </c>
      <c r="D15" s="7">
        <v>40</v>
      </c>
      <c r="E15" s="7">
        <v>44</v>
      </c>
      <c r="F15" s="8">
        <v>45441</v>
      </c>
      <c r="G15" s="6"/>
      <c r="H15" s="6">
        <f t="shared" si="0"/>
        <v>177</v>
      </c>
      <c r="I15" s="6" t="str">
        <f t="shared" si="1"/>
        <v>D</v>
      </c>
      <c r="J15" s="10">
        <f t="shared" si="2"/>
        <v>0.59</v>
      </c>
      <c r="L15" s="18" t="str">
        <f>IF(AND(C15&gt;=80, D15&gt;=80),"YES","NO")</f>
        <v>NO</v>
      </c>
      <c r="M15" s="6"/>
      <c r="N15" s="6"/>
      <c r="O15" s="6"/>
      <c r="P15" s="6"/>
      <c r="Q15" s="6"/>
      <c r="R15" s="6"/>
      <c r="S15" s="6"/>
      <c r="T15" s="6"/>
      <c r="U15" s="6"/>
      <c r="V15" s="6"/>
      <c r="W15" s="6"/>
      <c r="X15" s="6"/>
      <c r="Y15" s="6"/>
      <c r="Z15" s="6"/>
    </row>
    <row r="16" spans="1:26" ht="14.4">
      <c r="A16" s="7">
        <v>1015</v>
      </c>
      <c r="B16" s="7" t="s">
        <v>61</v>
      </c>
      <c r="C16" s="7">
        <v>70</v>
      </c>
      <c r="D16" s="7">
        <v>51</v>
      </c>
      <c r="E16" s="7">
        <v>75</v>
      </c>
      <c r="F16" s="8">
        <v>45621</v>
      </c>
      <c r="G16" s="6"/>
      <c r="H16" s="6">
        <f t="shared" si="0"/>
        <v>196</v>
      </c>
      <c r="I16" s="6" t="str">
        <f t="shared" si="1"/>
        <v>C</v>
      </c>
      <c r="J16" s="10">
        <f t="shared" si="2"/>
        <v>0.65333333333333332</v>
      </c>
      <c r="L16" s="18" t="str">
        <f>IF(AND(C16&gt;=80, D16&gt;=80),"YES","NO")</f>
        <v>NO</v>
      </c>
      <c r="M16" s="6"/>
      <c r="N16" s="6"/>
      <c r="O16" s="6"/>
      <c r="P16" s="6"/>
      <c r="Q16" s="6"/>
      <c r="R16" s="6"/>
      <c r="S16" s="6"/>
      <c r="T16" s="6"/>
      <c r="U16" s="6"/>
      <c r="V16" s="6"/>
      <c r="W16" s="6"/>
      <c r="X16" s="6"/>
      <c r="Y16" s="6"/>
      <c r="Z16" s="6"/>
    </row>
    <row r="17" spans="1:26" ht="14.4">
      <c r="A17" s="7">
        <v>1016</v>
      </c>
      <c r="B17" s="7" t="s">
        <v>62</v>
      </c>
      <c r="C17" s="7">
        <v>98</v>
      </c>
      <c r="D17" s="7">
        <v>77</v>
      </c>
      <c r="E17" s="7">
        <v>60</v>
      </c>
      <c r="F17" s="8">
        <v>45801</v>
      </c>
      <c r="G17" s="6"/>
      <c r="H17" s="6">
        <f t="shared" si="0"/>
        <v>235</v>
      </c>
      <c r="I17" s="6" t="str">
        <f t="shared" si="1"/>
        <v>B</v>
      </c>
      <c r="J17" s="10">
        <f t="shared" si="2"/>
        <v>0.78333333333333333</v>
      </c>
      <c r="L17" s="18" t="str">
        <f>IF(AND(C17&gt;=80, D17&gt;=80),"YES","NO")</f>
        <v>NO</v>
      </c>
      <c r="M17" s="6"/>
      <c r="N17" s="6"/>
      <c r="O17" s="6"/>
      <c r="P17" s="6"/>
      <c r="Q17" s="6"/>
      <c r="R17" s="6"/>
      <c r="S17" s="6"/>
      <c r="T17" s="6"/>
      <c r="U17" s="6"/>
      <c r="V17" s="6"/>
      <c r="W17" s="6"/>
      <c r="X17" s="6"/>
      <c r="Y17" s="6"/>
      <c r="Z17" s="6"/>
    </row>
    <row r="18" spans="1:26" ht="14.4">
      <c r="A18" s="7">
        <v>1017</v>
      </c>
      <c r="B18" s="7" t="s">
        <v>63</v>
      </c>
      <c r="C18" s="7">
        <v>66</v>
      </c>
      <c r="D18" s="7">
        <v>59</v>
      </c>
      <c r="E18" s="7">
        <v>40</v>
      </c>
      <c r="F18" s="8">
        <v>45981</v>
      </c>
      <c r="G18" s="6"/>
      <c r="H18" s="6">
        <f t="shared" si="0"/>
        <v>165</v>
      </c>
      <c r="I18" s="6" t="str">
        <f t="shared" si="1"/>
        <v>D</v>
      </c>
      <c r="J18" s="10">
        <f t="shared" si="2"/>
        <v>0.55000000000000004</v>
      </c>
      <c r="L18" s="18" t="str">
        <f>IF(AND(C18&gt;=80, D18&gt;=80),"YES","NO")</f>
        <v>NO</v>
      </c>
      <c r="M18" s="6"/>
      <c r="N18" s="6"/>
      <c r="O18" s="6"/>
      <c r="P18" s="6"/>
      <c r="Q18" s="6"/>
      <c r="R18" s="6"/>
      <c r="S18" s="6"/>
      <c r="T18" s="6"/>
      <c r="U18" s="6"/>
      <c r="V18" s="6"/>
      <c r="W18" s="6"/>
      <c r="X18" s="6"/>
      <c r="Y18" s="6"/>
      <c r="Z18" s="6"/>
    </row>
    <row r="19" spans="1:26" ht="14.4">
      <c r="A19" s="7">
        <v>1018</v>
      </c>
      <c r="B19" s="7" t="s">
        <v>64</v>
      </c>
      <c r="C19" s="7">
        <v>82</v>
      </c>
      <c r="D19" s="7">
        <v>48</v>
      </c>
      <c r="E19" s="7">
        <v>79</v>
      </c>
      <c r="F19" s="8">
        <v>46161</v>
      </c>
      <c r="G19" s="6"/>
      <c r="H19" s="6">
        <f t="shared" si="0"/>
        <v>209</v>
      </c>
      <c r="I19" s="6" t="str">
        <f t="shared" si="1"/>
        <v>C</v>
      </c>
      <c r="J19" s="10">
        <f t="shared" si="2"/>
        <v>0.69666666666666666</v>
      </c>
      <c r="L19" s="18" t="str">
        <f>IF(AND(C19&gt;=80, D19&gt;=80),"YES","NO")</f>
        <v>NO</v>
      </c>
      <c r="M19" s="6"/>
      <c r="N19" s="6"/>
      <c r="O19" s="6"/>
      <c r="P19" s="6"/>
      <c r="Q19" s="6"/>
      <c r="R19" s="6"/>
      <c r="S19" s="6"/>
      <c r="T19" s="6"/>
      <c r="U19" s="6"/>
      <c r="V19" s="6"/>
      <c r="W19" s="6"/>
      <c r="X19" s="6"/>
      <c r="Y19" s="6"/>
      <c r="Z19" s="6"/>
    </row>
    <row r="20" spans="1:26" ht="14.4">
      <c r="A20" s="7">
        <v>1019</v>
      </c>
      <c r="B20" s="7" t="s">
        <v>65</v>
      </c>
      <c r="C20" s="7">
        <v>90</v>
      </c>
      <c r="D20" s="7">
        <v>78</v>
      </c>
      <c r="E20" s="7">
        <v>60</v>
      </c>
      <c r="F20" s="8">
        <v>46341</v>
      </c>
      <c r="G20" s="6"/>
      <c r="H20" s="6">
        <f t="shared" si="0"/>
        <v>228</v>
      </c>
      <c r="I20" s="6" t="str">
        <f t="shared" si="1"/>
        <v>B</v>
      </c>
      <c r="J20" s="10">
        <f t="shared" si="2"/>
        <v>0.76</v>
      </c>
      <c r="L20" s="18" t="str">
        <f>IF(AND(C20&gt;=80, D20&gt;=80),"YES","NO")</f>
        <v>NO</v>
      </c>
      <c r="M20" s="6"/>
      <c r="N20" s="6"/>
      <c r="O20" s="6"/>
      <c r="P20" s="6"/>
      <c r="Q20" s="6"/>
      <c r="R20" s="6"/>
      <c r="S20" s="6"/>
      <c r="T20" s="6"/>
      <c r="U20" s="6"/>
      <c r="V20" s="6"/>
      <c r="W20" s="6"/>
      <c r="X20" s="6"/>
      <c r="Y20" s="6"/>
      <c r="Z20" s="6"/>
    </row>
    <row r="21" spans="1:26" ht="15.75" customHeight="1">
      <c r="A21" s="7">
        <v>1020</v>
      </c>
      <c r="B21" s="7" t="s">
        <v>66</v>
      </c>
      <c r="C21" s="7">
        <v>83</v>
      </c>
      <c r="D21" s="7">
        <v>92</v>
      </c>
      <c r="E21" s="7">
        <v>55</v>
      </c>
      <c r="F21" s="8">
        <v>46521</v>
      </c>
      <c r="G21" s="6"/>
      <c r="H21" s="6">
        <f t="shared" si="0"/>
        <v>230</v>
      </c>
      <c r="I21" s="6" t="str">
        <f t="shared" si="1"/>
        <v>B</v>
      </c>
      <c r="J21" s="10">
        <f t="shared" si="2"/>
        <v>0.76666666666666672</v>
      </c>
      <c r="L21" s="18" t="str">
        <f>IF(AND(C21&gt;=80, D21&gt;=80),"YES","NO")</f>
        <v>YES</v>
      </c>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L22" s="19">
        <f>COUNTIFS(L2:L21,"YES")</f>
        <v>3</v>
      </c>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L1000" s="6"/>
      <c r="M1000" s="6"/>
      <c r="N1000" s="6"/>
      <c r="O1000" s="6"/>
      <c r="P1000" s="6"/>
      <c r="Q1000" s="6"/>
      <c r="R1000" s="6"/>
      <c r="S1000" s="6"/>
      <c r="T1000" s="6"/>
      <c r="U1000" s="6"/>
      <c r="V1000" s="6"/>
      <c r="W1000" s="6"/>
      <c r="X1000" s="6"/>
      <c r="Y1000" s="6"/>
      <c r="Z1000" s="6"/>
    </row>
  </sheetData>
  <mergeCells count="1">
    <mergeCell ref="O1:R1"/>
  </mergeCells>
  <pageMargins left="0.75" right="0.75" top="1" bottom="1" header="0" footer="0"/>
  <pageSetup orientation="landscape"/>
  <ignoredErrors>
    <ignoredError sqref="H2:H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H1" sqref="H1"/>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18.88671875" customWidth="1"/>
    <col min="7" max="9" width="8.6640625" customWidth="1"/>
    <col min="10" max="10" width="12.88671875" customWidth="1"/>
    <col min="11" max="11" width="14.88671875" customWidth="1"/>
    <col min="12" max="26" width="8.6640625" customWidth="1"/>
  </cols>
  <sheetData>
    <row r="1" spans="1:26" ht="12.6" customHeight="1">
      <c r="A1" s="5" t="s">
        <v>67</v>
      </c>
      <c r="B1" s="5" t="s">
        <v>68</v>
      </c>
      <c r="C1" s="5" t="s">
        <v>69</v>
      </c>
      <c r="D1" s="5" t="s">
        <v>70</v>
      </c>
      <c r="E1" s="5" t="s">
        <v>71</v>
      </c>
      <c r="F1" s="5" t="s">
        <v>72</v>
      </c>
      <c r="G1" s="6"/>
      <c r="H1" s="11" t="s">
        <v>138</v>
      </c>
      <c r="I1" s="6"/>
      <c r="J1" s="6"/>
      <c r="K1" s="6"/>
      <c r="L1" s="6"/>
      <c r="M1" s="6"/>
      <c r="N1" s="6"/>
      <c r="O1" s="6"/>
      <c r="P1" s="6"/>
      <c r="Q1" s="6"/>
      <c r="R1" s="6"/>
      <c r="S1" s="6"/>
      <c r="T1" s="6"/>
      <c r="U1" s="6"/>
      <c r="V1" s="6"/>
      <c r="W1" s="6"/>
      <c r="X1" s="6"/>
      <c r="Y1" s="6"/>
      <c r="Z1" s="6"/>
    </row>
    <row r="2" spans="1:26" ht="14.4">
      <c r="A2" s="7">
        <v>2001</v>
      </c>
      <c r="B2" s="7" t="s">
        <v>73</v>
      </c>
      <c r="C2" s="7" t="s">
        <v>74</v>
      </c>
      <c r="D2" s="7" t="s">
        <v>75</v>
      </c>
      <c r="E2" s="7">
        <v>7048</v>
      </c>
      <c r="F2" s="8">
        <v>44927</v>
      </c>
      <c r="G2" s="6"/>
      <c r="H2" s="10">
        <f>IF(E2&gt;=40000,0.2,IF(E2&gt;=30000,0.15,IF(E2&gt;=20000,0.1,0)))</f>
        <v>0</v>
      </c>
      <c r="I2" s="6" t="str">
        <f>IF(E2&gt;40000, "Premium", IF(E2&gt;20000, "Mid", "Low"))</f>
        <v>Low</v>
      </c>
      <c r="J2" s="6" t="str">
        <f>IF(AND(B2="Keyboard", E2&gt;25000), "Eligible", "Not Eligible")</f>
        <v>Not Eligible</v>
      </c>
      <c r="K2" s="6" t="str">
        <f>IF(OR(B2="Keyboard", B2="Printer"), "Main Category", "Other")</f>
        <v>Main Category</v>
      </c>
      <c r="L2" s="6"/>
      <c r="M2" s="6"/>
      <c r="N2" s="6"/>
      <c r="O2" s="6"/>
      <c r="P2" s="6"/>
      <c r="Q2" s="6"/>
      <c r="R2" s="6"/>
      <c r="S2" s="6"/>
      <c r="T2" s="6"/>
      <c r="U2" s="6"/>
      <c r="V2" s="6"/>
      <c r="W2" s="6"/>
      <c r="X2" s="6"/>
      <c r="Y2" s="6"/>
      <c r="Z2" s="6"/>
    </row>
    <row r="3" spans="1:26" ht="14.4">
      <c r="A3" s="7">
        <v>2002</v>
      </c>
      <c r="B3" s="7" t="s">
        <v>76</v>
      </c>
      <c r="C3" s="7" t="s">
        <v>77</v>
      </c>
      <c r="D3" s="7" t="s">
        <v>78</v>
      </c>
      <c r="E3" s="7">
        <v>17428</v>
      </c>
      <c r="F3" s="8">
        <v>44942</v>
      </c>
      <c r="G3" s="6"/>
      <c r="H3" s="10">
        <f t="shared" ref="H3:H21" si="0">IF(E3&gt;=40000,0.2,IF(E3&gt;=30000,0.15,IF(E3&gt;=20000,0.1,0)))</f>
        <v>0</v>
      </c>
      <c r="I3" s="6" t="str">
        <f t="shared" ref="I3:I21" si="1">IF(E3&gt;40000, "Premium", IF(E3&gt;20000, "Mid", "Low"))</f>
        <v>Low</v>
      </c>
      <c r="J3" s="6" t="str">
        <f t="shared" ref="J3:J21" si="2">IF(AND(B3="Keyboard", E3&gt;25000), "Eligible", "Not Eligible")</f>
        <v>Not Eligible</v>
      </c>
      <c r="K3" s="6" t="str">
        <f t="shared" ref="K3:K21" si="3">IF(OR(B3="Keyboard", B3="Printer"), "Main Category", "Other")</f>
        <v>Main Category</v>
      </c>
      <c r="L3" s="6"/>
      <c r="M3" s="6"/>
      <c r="N3" s="6"/>
      <c r="O3" s="6"/>
      <c r="P3" s="6"/>
      <c r="Q3" s="6"/>
      <c r="R3" s="6"/>
      <c r="S3" s="6"/>
      <c r="T3" s="6"/>
      <c r="U3" s="6"/>
      <c r="V3" s="6"/>
      <c r="W3" s="6"/>
      <c r="X3" s="6"/>
      <c r="Y3" s="6"/>
      <c r="Z3" s="6"/>
    </row>
    <row r="4" spans="1:26" ht="14.4">
      <c r="A4" s="7">
        <v>2003</v>
      </c>
      <c r="B4" s="7" t="s">
        <v>79</v>
      </c>
      <c r="C4" s="7" t="s">
        <v>74</v>
      </c>
      <c r="D4" s="7" t="s">
        <v>80</v>
      </c>
      <c r="E4" s="7">
        <v>23672</v>
      </c>
      <c r="F4" s="8">
        <v>44957</v>
      </c>
      <c r="G4" s="6"/>
      <c r="H4" s="10">
        <f t="shared" si="0"/>
        <v>0.1</v>
      </c>
      <c r="I4" s="6" t="str">
        <f t="shared" si="1"/>
        <v>Mid</v>
      </c>
      <c r="J4" s="6" t="str">
        <f t="shared" si="2"/>
        <v>Not Eligible</v>
      </c>
      <c r="K4" s="6" t="str">
        <f t="shared" si="3"/>
        <v>Other</v>
      </c>
      <c r="L4" s="6"/>
      <c r="M4" s="6"/>
      <c r="N4" s="6"/>
      <c r="O4" s="6"/>
      <c r="P4" s="6"/>
      <c r="Q4" s="6"/>
      <c r="R4" s="6"/>
      <c r="S4" s="6"/>
      <c r="T4" s="6"/>
      <c r="U4" s="6"/>
      <c r="V4" s="6"/>
      <c r="W4" s="6"/>
      <c r="X4" s="6"/>
      <c r="Y4" s="6"/>
      <c r="Z4" s="6"/>
    </row>
    <row r="5" spans="1:26" ht="14.4">
      <c r="A5" s="7">
        <v>2004</v>
      </c>
      <c r="B5" s="7" t="s">
        <v>76</v>
      </c>
      <c r="C5" s="7" t="s">
        <v>81</v>
      </c>
      <c r="D5" s="7" t="s">
        <v>82</v>
      </c>
      <c r="E5" s="7">
        <v>5264</v>
      </c>
      <c r="F5" s="8">
        <v>44972</v>
      </c>
      <c r="G5" s="6"/>
      <c r="H5" s="10">
        <f t="shared" si="0"/>
        <v>0</v>
      </c>
      <c r="I5" s="6" t="str">
        <f t="shared" si="1"/>
        <v>Low</v>
      </c>
      <c r="J5" s="6" t="str">
        <f t="shared" si="2"/>
        <v>Not Eligible</v>
      </c>
      <c r="K5" s="6" t="str">
        <f t="shared" si="3"/>
        <v>Main Category</v>
      </c>
      <c r="L5" s="6"/>
      <c r="M5" s="6"/>
      <c r="N5" s="6"/>
      <c r="O5" s="6"/>
      <c r="P5" s="6"/>
      <c r="Q5" s="6"/>
      <c r="R5" s="6"/>
      <c r="S5" s="6"/>
      <c r="T5" s="6"/>
      <c r="U5" s="6"/>
      <c r="V5" s="6"/>
      <c r="W5" s="6"/>
      <c r="X5" s="6"/>
      <c r="Y5" s="6"/>
      <c r="Z5" s="6"/>
    </row>
    <row r="6" spans="1:26" ht="14.4">
      <c r="A6" s="7">
        <v>2005</v>
      </c>
      <c r="B6" s="7" t="s">
        <v>73</v>
      </c>
      <c r="C6" s="7" t="s">
        <v>83</v>
      </c>
      <c r="D6" s="7" t="s">
        <v>84</v>
      </c>
      <c r="E6" s="7">
        <v>43388</v>
      </c>
      <c r="F6" s="8">
        <v>44987</v>
      </c>
      <c r="G6" s="6"/>
      <c r="H6" s="10">
        <f t="shared" si="0"/>
        <v>0.2</v>
      </c>
      <c r="I6" s="6" t="str">
        <f t="shared" si="1"/>
        <v>Premium</v>
      </c>
      <c r="J6" s="6" t="str">
        <f t="shared" si="2"/>
        <v>Eligible</v>
      </c>
      <c r="K6" s="6" t="str">
        <f t="shared" si="3"/>
        <v>Main Category</v>
      </c>
      <c r="L6" s="6"/>
      <c r="M6" s="6"/>
      <c r="N6" s="6"/>
      <c r="O6" s="6"/>
      <c r="P6" s="6"/>
      <c r="Q6" s="6"/>
      <c r="R6" s="6"/>
      <c r="S6" s="6"/>
      <c r="T6" s="6"/>
      <c r="U6" s="6"/>
      <c r="V6" s="6"/>
      <c r="W6" s="6"/>
      <c r="X6" s="6"/>
      <c r="Y6" s="6"/>
      <c r="Z6" s="6"/>
    </row>
    <row r="7" spans="1:26" ht="14.4">
      <c r="A7" s="7">
        <v>2006</v>
      </c>
      <c r="B7" s="7" t="s">
        <v>79</v>
      </c>
      <c r="C7" s="7" t="s">
        <v>83</v>
      </c>
      <c r="D7" s="7" t="s">
        <v>85</v>
      </c>
      <c r="E7" s="7">
        <v>19757</v>
      </c>
      <c r="F7" s="8">
        <v>45002</v>
      </c>
      <c r="G7" s="6"/>
      <c r="H7" s="10">
        <f t="shared" si="0"/>
        <v>0</v>
      </c>
      <c r="I7" s="6" t="str">
        <f t="shared" si="1"/>
        <v>Low</v>
      </c>
      <c r="J7" s="6" t="str">
        <f t="shared" si="2"/>
        <v>Not Eligible</v>
      </c>
      <c r="K7" s="6" t="str">
        <f t="shared" si="3"/>
        <v>Other</v>
      </c>
      <c r="L7" s="6"/>
      <c r="M7" s="6"/>
      <c r="N7" s="6"/>
      <c r="O7" s="6"/>
      <c r="P7" s="6"/>
      <c r="Q7" s="6"/>
      <c r="R7" s="6"/>
      <c r="S7" s="6"/>
      <c r="T7" s="6"/>
      <c r="U7" s="6"/>
      <c r="V7" s="6"/>
      <c r="W7" s="6"/>
      <c r="X7" s="6"/>
      <c r="Y7" s="6"/>
      <c r="Z7" s="6"/>
    </row>
    <row r="8" spans="1:26" ht="14.4">
      <c r="A8" s="7">
        <v>2007</v>
      </c>
      <c r="B8" s="7" t="s">
        <v>79</v>
      </c>
      <c r="C8" s="7" t="s">
        <v>81</v>
      </c>
      <c r="D8" s="7" t="s">
        <v>86</v>
      </c>
      <c r="E8" s="7">
        <v>32058</v>
      </c>
      <c r="F8" s="8">
        <v>45017</v>
      </c>
      <c r="G8" s="6"/>
      <c r="H8" s="10">
        <f t="shared" si="0"/>
        <v>0.15</v>
      </c>
      <c r="I8" s="6" t="str">
        <f t="shared" si="1"/>
        <v>Mid</v>
      </c>
      <c r="J8" s="6" t="str">
        <f t="shared" si="2"/>
        <v>Not Eligible</v>
      </c>
      <c r="K8" s="6" t="str">
        <f t="shared" si="3"/>
        <v>Other</v>
      </c>
      <c r="L8" s="6"/>
      <c r="M8" s="6"/>
      <c r="N8" s="6"/>
      <c r="O8" s="6"/>
      <c r="P8" s="6"/>
      <c r="Q8" s="6"/>
      <c r="R8" s="6"/>
      <c r="S8" s="6"/>
      <c r="T8" s="6"/>
      <c r="U8" s="6"/>
      <c r="V8" s="6"/>
      <c r="W8" s="6"/>
      <c r="X8" s="6"/>
      <c r="Y8" s="6"/>
      <c r="Z8" s="6"/>
    </row>
    <row r="9" spans="1:26" ht="14.4">
      <c r="A9" s="7">
        <v>2008</v>
      </c>
      <c r="B9" s="7" t="s">
        <v>73</v>
      </c>
      <c r="C9" s="7" t="s">
        <v>81</v>
      </c>
      <c r="D9" s="7" t="s">
        <v>87</v>
      </c>
      <c r="E9" s="7">
        <v>46429</v>
      </c>
      <c r="F9" s="8">
        <v>45032</v>
      </c>
      <c r="G9" s="6"/>
      <c r="H9" s="10">
        <f t="shared" si="0"/>
        <v>0.2</v>
      </c>
      <c r="I9" s="6" t="str">
        <f t="shared" si="1"/>
        <v>Premium</v>
      </c>
      <c r="J9" s="6" t="str">
        <f t="shared" si="2"/>
        <v>Eligible</v>
      </c>
      <c r="K9" s="6" t="str">
        <f t="shared" si="3"/>
        <v>Main Category</v>
      </c>
      <c r="L9" s="6"/>
      <c r="M9" s="6"/>
      <c r="N9" s="6"/>
      <c r="O9" s="6"/>
      <c r="P9" s="6"/>
      <c r="Q9" s="6"/>
      <c r="R9" s="6"/>
      <c r="S9" s="6"/>
      <c r="T9" s="6"/>
      <c r="U9" s="6"/>
      <c r="V9" s="6"/>
      <c r="W9" s="6"/>
      <c r="X9" s="6"/>
      <c r="Y9" s="6"/>
      <c r="Z9" s="6"/>
    </row>
    <row r="10" spans="1:26" ht="14.4">
      <c r="A10" s="7">
        <v>2009</v>
      </c>
      <c r="B10" s="7" t="s">
        <v>76</v>
      </c>
      <c r="C10" s="7" t="s">
        <v>81</v>
      </c>
      <c r="D10" s="7" t="s">
        <v>88</v>
      </c>
      <c r="E10" s="7">
        <v>19746</v>
      </c>
      <c r="F10" s="8">
        <v>45047</v>
      </c>
      <c r="G10" s="6"/>
      <c r="H10" s="10">
        <f t="shared" si="0"/>
        <v>0</v>
      </c>
      <c r="I10" s="6" t="str">
        <f t="shared" si="1"/>
        <v>Low</v>
      </c>
      <c r="J10" s="6" t="str">
        <f t="shared" si="2"/>
        <v>Not Eligible</v>
      </c>
      <c r="K10" s="6" t="str">
        <f t="shared" si="3"/>
        <v>Main Category</v>
      </c>
      <c r="L10" s="6"/>
      <c r="M10" s="6"/>
      <c r="N10" s="6"/>
      <c r="O10" s="6"/>
      <c r="P10" s="6"/>
      <c r="Q10" s="6"/>
      <c r="R10" s="6"/>
      <c r="S10" s="6"/>
      <c r="T10" s="6"/>
      <c r="U10" s="6"/>
      <c r="V10" s="6"/>
      <c r="W10" s="6"/>
      <c r="X10" s="6"/>
      <c r="Y10" s="6"/>
      <c r="Z10" s="6"/>
    </row>
    <row r="11" spans="1:26" ht="14.4">
      <c r="A11" s="7">
        <v>2010</v>
      </c>
      <c r="B11" s="7" t="s">
        <v>73</v>
      </c>
      <c r="C11" s="7" t="s">
        <v>74</v>
      </c>
      <c r="D11" s="7" t="s">
        <v>89</v>
      </c>
      <c r="E11" s="7">
        <v>35185</v>
      </c>
      <c r="F11" s="8">
        <v>45062</v>
      </c>
      <c r="G11" s="6"/>
      <c r="H11" s="10">
        <f t="shared" si="0"/>
        <v>0.15</v>
      </c>
      <c r="I11" s="6" t="str">
        <f t="shared" si="1"/>
        <v>Mid</v>
      </c>
      <c r="J11" s="6" t="str">
        <f t="shared" si="2"/>
        <v>Eligible</v>
      </c>
      <c r="K11" s="6" t="str">
        <f t="shared" si="3"/>
        <v>Main Category</v>
      </c>
      <c r="L11" s="6"/>
      <c r="M11" s="6"/>
      <c r="N11" s="6"/>
      <c r="O11" s="6"/>
      <c r="P11" s="6"/>
      <c r="Q11" s="6"/>
      <c r="R11" s="6"/>
      <c r="S11" s="6"/>
      <c r="T11" s="6"/>
      <c r="U11" s="6"/>
      <c r="V11" s="6"/>
      <c r="W11" s="6"/>
      <c r="X11" s="6"/>
      <c r="Y11" s="6"/>
      <c r="Z11" s="6"/>
    </row>
    <row r="12" spans="1:26" ht="14.4">
      <c r="A12" s="7">
        <v>2011</v>
      </c>
      <c r="B12" s="7" t="s">
        <v>73</v>
      </c>
      <c r="C12" s="7" t="s">
        <v>81</v>
      </c>
      <c r="D12" s="7" t="s">
        <v>90</v>
      </c>
      <c r="E12" s="7">
        <v>33920</v>
      </c>
      <c r="F12" s="8">
        <v>45077</v>
      </c>
      <c r="G12" s="6"/>
      <c r="H12" s="10">
        <f t="shared" si="0"/>
        <v>0.15</v>
      </c>
      <c r="I12" s="6" t="str">
        <f t="shared" si="1"/>
        <v>Mid</v>
      </c>
      <c r="J12" s="6" t="str">
        <f t="shared" si="2"/>
        <v>Eligible</v>
      </c>
      <c r="K12" s="6" t="str">
        <f t="shared" si="3"/>
        <v>Main Category</v>
      </c>
      <c r="L12" s="6"/>
      <c r="M12" s="6"/>
      <c r="N12" s="6"/>
      <c r="O12" s="6"/>
      <c r="P12" s="6"/>
      <c r="Q12" s="6"/>
      <c r="R12" s="6"/>
      <c r="S12" s="6"/>
      <c r="T12" s="6"/>
      <c r="U12" s="6"/>
      <c r="V12" s="6"/>
      <c r="W12" s="6"/>
      <c r="X12" s="6"/>
      <c r="Y12" s="6"/>
      <c r="Z12" s="6"/>
    </row>
    <row r="13" spans="1:26" ht="14.4">
      <c r="A13" s="7">
        <v>2012</v>
      </c>
      <c r="B13" s="7" t="s">
        <v>91</v>
      </c>
      <c r="C13" s="7" t="s">
        <v>83</v>
      </c>
      <c r="D13" s="7" t="s">
        <v>92</v>
      </c>
      <c r="E13" s="7">
        <v>35611</v>
      </c>
      <c r="F13" s="8">
        <v>45092</v>
      </c>
      <c r="G13" s="6"/>
      <c r="H13" s="10">
        <f t="shared" si="0"/>
        <v>0.15</v>
      </c>
      <c r="I13" s="6" t="str">
        <f t="shared" si="1"/>
        <v>Mid</v>
      </c>
      <c r="J13" s="6" t="str">
        <f t="shared" si="2"/>
        <v>Not Eligible</v>
      </c>
      <c r="K13" s="6" t="str">
        <f t="shared" si="3"/>
        <v>Other</v>
      </c>
      <c r="L13" s="6"/>
      <c r="M13" s="6"/>
      <c r="N13" s="6"/>
      <c r="O13" s="6"/>
      <c r="P13" s="6"/>
      <c r="Q13" s="6"/>
      <c r="R13" s="6"/>
      <c r="S13" s="6"/>
      <c r="T13" s="6"/>
      <c r="U13" s="6"/>
      <c r="V13" s="6"/>
      <c r="W13" s="6"/>
      <c r="X13" s="6"/>
      <c r="Y13" s="6"/>
      <c r="Z13" s="6"/>
    </row>
    <row r="14" spans="1:26" ht="14.4">
      <c r="A14" s="7">
        <v>2013</v>
      </c>
      <c r="B14" s="7" t="s">
        <v>93</v>
      </c>
      <c r="C14" s="7" t="s">
        <v>81</v>
      </c>
      <c r="D14" s="7" t="s">
        <v>94</v>
      </c>
      <c r="E14" s="7">
        <v>15560</v>
      </c>
      <c r="F14" s="8">
        <v>45107</v>
      </c>
      <c r="G14" s="6"/>
      <c r="H14" s="10">
        <f t="shared" si="0"/>
        <v>0</v>
      </c>
      <c r="I14" s="6" t="str">
        <f t="shared" si="1"/>
        <v>Low</v>
      </c>
      <c r="J14" s="6" t="str">
        <f t="shared" si="2"/>
        <v>Not Eligible</v>
      </c>
      <c r="K14" s="6" t="str">
        <f t="shared" si="3"/>
        <v>Other</v>
      </c>
      <c r="L14" s="6"/>
      <c r="M14" s="6"/>
      <c r="N14" s="6"/>
      <c r="O14" s="6"/>
      <c r="P14" s="6"/>
      <c r="Q14" s="6"/>
      <c r="R14" s="6"/>
      <c r="S14" s="6"/>
      <c r="T14" s="6"/>
      <c r="U14" s="6"/>
      <c r="V14" s="6"/>
      <c r="W14" s="6"/>
      <c r="X14" s="6"/>
      <c r="Y14" s="6"/>
      <c r="Z14" s="6"/>
    </row>
    <row r="15" spans="1:26" ht="14.4">
      <c r="A15" s="7">
        <v>2014</v>
      </c>
      <c r="B15" s="7" t="s">
        <v>93</v>
      </c>
      <c r="C15" s="7" t="s">
        <v>74</v>
      </c>
      <c r="D15" s="7" t="s">
        <v>95</v>
      </c>
      <c r="E15" s="7">
        <v>7283</v>
      </c>
      <c r="F15" s="8">
        <v>45122</v>
      </c>
      <c r="G15" s="6"/>
      <c r="H15" s="10">
        <f t="shared" si="0"/>
        <v>0</v>
      </c>
      <c r="I15" s="6" t="str">
        <f t="shared" si="1"/>
        <v>Low</v>
      </c>
      <c r="J15" s="6" t="str">
        <f t="shared" si="2"/>
        <v>Not Eligible</v>
      </c>
      <c r="K15" s="6" t="str">
        <f t="shared" si="3"/>
        <v>Other</v>
      </c>
      <c r="L15" s="6"/>
      <c r="M15" s="6"/>
      <c r="N15" s="6"/>
      <c r="O15" s="6"/>
      <c r="P15" s="6"/>
      <c r="Q15" s="6"/>
      <c r="R15" s="6"/>
      <c r="S15" s="6"/>
      <c r="T15" s="6"/>
      <c r="U15" s="6"/>
      <c r="V15" s="6"/>
      <c r="W15" s="6"/>
      <c r="X15" s="6"/>
      <c r="Y15" s="6"/>
      <c r="Z15" s="6"/>
    </row>
    <row r="16" spans="1:26" ht="14.4">
      <c r="A16" s="7">
        <v>2015</v>
      </c>
      <c r="B16" s="7" t="s">
        <v>93</v>
      </c>
      <c r="C16" s="7" t="s">
        <v>81</v>
      </c>
      <c r="D16" s="7" t="s">
        <v>96</v>
      </c>
      <c r="E16" s="7">
        <v>15678</v>
      </c>
      <c r="F16" s="8">
        <v>45137</v>
      </c>
      <c r="G16" s="6"/>
      <c r="H16" s="10">
        <f t="shared" si="0"/>
        <v>0</v>
      </c>
      <c r="I16" s="6" t="str">
        <f t="shared" si="1"/>
        <v>Low</v>
      </c>
      <c r="J16" s="6" t="str">
        <f t="shared" si="2"/>
        <v>Not Eligible</v>
      </c>
      <c r="K16" s="6" t="str">
        <f t="shared" si="3"/>
        <v>Other</v>
      </c>
      <c r="L16" s="6"/>
      <c r="M16" s="6"/>
      <c r="N16" s="6"/>
      <c r="O16" s="6"/>
      <c r="P16" s="6"/>
      <c r="Q16" s="6"/>
      <c r="R16" s="6"/>
      <c r="S16" s="6"/>
      <c r="T16" s="6"/>
      <c r="U16" s="6"/>
      <c r="V16" s="6"/>
      <c r="W16" s="6"/>
      <c r="X16" s="6"/>
      <c r="Y16" s="6"/>
      <c r="Z16" s="6"/>
    </row>
    <row r="17" spans="1:26" ht="14.4">
      <c r="A17" s="7">
        <v>2016</v>
      </c>
      <c r="B17" s="7" t="s">
        <v>79</v>
      </c>
      <c r="C17" s="7" t="s">
        <v>81</v>
      </c>
      <c r="D17" s="7" t="s">
        <v>97</v>
      </c>
      <c r="E17" s="7">
        <v>5277</v>
      </c>
      <c r="F17" s="8">
        <v>45152</v>
      </c>
      <c r="G17" s="6"/>
      <c r="H17" s="10">
        <f t="shared" si="0"/>
        <v>0</v>
      </c>
      <c r="I17" s="6" t="str">
        <f t="shared" si="1"/>
        <v>Low</v>
      </c>
      <c r="J17" s="6" t="str">
        <f t="shared" si="2"/>
        <v>Not Eligible</v>
      </c>
      <c r="K17" s="6" t="str">
        <f t="shared" si="3"/>
        <v>Other</v>
      </c>
      <c r="L17" s="6"/>
      <c r="M17" s="6"/>
      <c r="N17" s="6"/>
      <c r="O17" s="6"/>
      <c r="P17" s="6"/>
      <c r="Q17" s="6"/>
      <c r="R17" s="6"/>
      <c r="S17" s="6"/>
      <c r="T17" s="6"/>
      <c r="U17" s="6"/>
      <c r="V17" s="6"/>
      <c r="W17" s="6"/>
      <c r="X17" s="6"/>
      <c r="Y17" s="6"/>
      <c r="Z17" s="6"/>
    </row>
    <row r="18" spans="1:26" ht="14.4">
      <c r="A18" s="7">
        <v>2017</v>
      </c>
      <c r="B18" s="7" t="s">
        <v>91</v>
      </c>
      <c r="C18" s="7" t="s">
        <v>83</v>
      </c>
      <c r="D18" s="7" t="s">
        <v>98</v>
      </c>
      <c r="E18" s="7">
        <v>41871</v>
      </c>
      <c r="F18" s="8">
        <v>45167</v>
      </c>
      <c r="G18" s="6"/>
      <c r="H18" s="10">
        <f t="shared" si="0"/>
        <v>0.2</v>
      </c>
      <c r="I18" s="6" t="str">
        <f t="shared" si="1"/>
        <v>Premium</v>
      </c>
      <c r="J18" s="6" t="str">
        <f t="shared" si="2"/>
        <v>Not Eligible</v>
      </c>
      <c r="K18" s="6" t="str">
        <f t="shared" si="3"/>
        <v>Other</v>
      </c>
      <c r="L18" s="6"/>
      <c r="M18" s="6"/>
      <c r="N18" s="6"/>
      <c r="O18" s="6"/>
      <c r="P18" s="6"/>
      <c r="Q18" s="6"/>
      <c r="R18" s="6"/>
      <c r="S18" s="6"/>
      <c r="T18" s="6"/>
      <c r="U18" s="6"/>
      <c r="V18" s="6"/>
      <c r="W18" s="6"/>
      <c r="X18" s="6"/>
      <c r="Y18" s="6"/>
      <c r="Z18" s="6"/>
    </row>
    <row r="19" spans="1:26" ht="14.4">
      <c r="A19" s="7">
        <v>2018</v>
      </c>
      <c r="B19" s="7" t="s">
        <v>91</v>
      </c>
      <c r="C19" s="7" t="s">
        <v>77</v>
      </c>
      <c r="D19" s="7" t="s">
        <v>99</v>
      </c>
      <c r="E19" s="7">
        <v>38161</v>
      </c>
      <c r="F19" s="8">
        <v>45182</v>
      </c>
      <c r="G19" s="6"/>
      <c r="H19" s="10">
        <f t="shared" si="0"/>
        <v>0.15</v>
      </c>
      <c r="I19" s="6" t="str">
        <f t="shared" si="1"/>
        <v>Mid</v>
      </c>
      <c r="J19" s="6" t="str">
        <f t="shared" si="2"/>
        <v>Not Eligible</v>
      </c>
      <c r="K19" s="6" t="str">
        <f t="shared" si="3"/>
        <v>Other</v>
      </c>
      <c r="L19" s="6"/>
      <c r="M19" s="6"/>
      <c r="N19" s="6"/>
      <c r="O19" s="6"/>
      <c r="P19" s="6"/>
      <c r="Q19" s="6"/>
      <c r="R19" s="6"/>
      <c r="S19" s="6"/>
      <c r="T19" s="6"/>
      <c r="U19" s="6"/>
      <c r="V19" s="6"/>
      <c r="W19" s="6"/>
      <c r="X19" s="6"/>
      <c r="Y19" s="6"/>
      <c r="Z19" s="6"/>
    </row>
    <row r="20" spans="1:26" ht="14.4">
      <c r="A20" s="7">
        <v>2019</v>
      </c>
      <c r="B20" s="7" t="s">
        <v>79</v>
      </c>
      <c r="C20" s="7" t="s">
        <v>77</v>
      </c>
      <c r="D20" s="7" t="s">
        <v>100</v>
      </c>
      <c r="E20" s="7">
        <v>30436</v>
      </c>
      <c r="F20" s="8">
        <v>45197</v>
      </c>
      <c r="G20" s="6"/>
      <c r="H20" s="10">
        <f t="shared" si="0"/>
        <v>0.15</v>
      </c>
      <c r="I20" s="6" t="str">
        <f t="shared" si="1"/>
        <v>Mid</v>
      </c>
      <c r="J20" s="6" t="str">
        <f t="shared" si="2"/>
        <v>Not Eligible</v>
      </c>
      <c r="K20" s="6" t="str">
        <f t="shared" si="3"/>
        <v>Other</v>
      </c>
      <c r="L20" s="6"/>
      <c r="M20" s="6"/>
      <c r="N20" s="6"/>
      <c r="O20" s="6"/>
      <c r="P20" s="6"/>
      <c r="Q20" s="6"/>
      <c r="R20" s="6"/>
      <c r="S20" s="6"/>
      <c r="T20" s="6"/>
      <c r="U20" s="6"/>
      <c r="V20" s="6"/>
      <c r="W20" s="6"/>
      <c r="X20" s="6"/>
      <c r="Y20" s="6"/>
      <c r="Z20" s="6"/>
    </row>
    <row r="21" spans="1:26" ht="15.75" customHeight="1">
      <c r="A21" s="7">
        <v>2020</v>
      </c>
      <c r="B21" s="7" t="s">
        <v>76</v>
      </c>
      <c r="C21" s="7" t="s">
        <v>77</v>
      </c>
      <c r="D21" s="7" t="s">
        <v>101</v>
      </c>
      <c r="E21" s="7">
        <v>33953</v>
      </c>
      <c r="F21" s="8">
        <v>45212</v>
      </c>
      <c r="G21" s="6"/>
      <c r="H21" s="10">
        <f t="shared" si="0"/>
        <v>0.15</v>
      </c>
      <c r="I21" s="6" t="str">
        <f t="shared" si="1"/>
        <v>Mid</v>
      </c>
      <c r="J21" s="6" t="str">
        <f t="shared" si="2"/>
        <v>Not Eligible</v>
      </c>
      <c r="K21" s="6" t="str">
        <f t="shared" si="3"/>
        <v>Main Category</v>
      </c>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E1" sqref="A1:E1"/>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25" width="8.6640625" customWidth="1"/>
  </cols>
  <sheetData>
    <row r="1" spans="1:25" ht="14.4">
      <c r="A1" s="5" t="s">
        <v>102</v>
      </c>
      <c r="B1" s="5" t="s">
        <v>42</v>
      </c>
      <c r="C1" s="5" t="s">
        <v>103</v>
      </c>
      <c r="D1" s="5" t="s">
        <v>104</v>
      </c>
      <c r="E1" s="5" t="s">
        <v>105</v>
      </c>
      <c r="F1" s="6"/>
      <c r="G1" s="6"/>
      <c r="H1" s="6"/>
      <c r="I1" s="6"/>
      <c r="J1" s="6"/>
      <c r="K1" s="6"/>
      <c r="L1" s="6"/>
      <c r="M1" s="6"/>
      <c r="N1" s="6"/>
      <c r="O1" s="6"/>
      <c r="P1" s="6"/>
      <c r="Q1" s="6"/>
      <c r="R1" s="6"/>
      <c r="S1" s="6"/>
      <c r="T1" s="6"/>
      <c r="U1" s="6"/>
      <c r="V1" s="6"/>
      <c r="W1" s="6"/>
      <c r="X1" s="6"/>
      <c r="Y1" s="6"/>
    </row>
    <row r="2" spans="1:25" ht="14.4">
      <c r="A2" s="7">
        <v>3001</v>
      </c>
      <c r="B2" s="7" t="s">
        <v>106</v>
      </c>
      <c r="C2" s="7" t="s">
        <v>107</v>
      </c>
      <c r="D2" s="7">
        <v>86766</v>
      </c>
      <c r="E2" s="8">
        <v>42005</v>
      </c>
      <c r="F2" s="6"/>
      <c r="G2" s="6"/>
      <c r="H2" s="6"/>
      <c r="I2" s="6"/>
      <c r="J2" s="6"/>
      <c r="K2" s="6"/>
      <c r="L2" s="6"/>
      <c r="M2" s="6"/>
      <c r="N2" s="6"/>
      <c r="O2" s="6"/>
      <c r="P2" s="6"/>
      <c r="Q2" s="6"/>
      <c r="R2" s="6"/>
      <c r="S2" s="6"/>
      <c r="T2" s="6"/>
      <c r="U2" s="6"/>
      <c r="V2" s="6"/>
      <c r="W2" s="6"/>
      <c r="X2" s="6"/>
      <c r="Y2" s="6"/>
    </row>
    <row r="3" spans="1:25" ht="14.4">
      <c r="A3" s="7">
        <v>3002</v>
      </c>
      <c r="B3" s="7" t="s">
        <v>108</v>
      </c>
      <c r="C3" s="7" t="s">
        <v>107</v>
      </c>
      <c r="D3" s="7">
        <v>31943</v>
      </c>
      <c r="E3" s="8">
        <v>42255</v>
      </c>
      <c r="F3" s="6"/>
      <c r="G3" s="6"/>
      <c r="H3" s="6"/>
      <c r="I3" s="6"/>
      <c r="J3" s="6"/>
      <c r="K3" s="6"/>
      <c r="L3" s="6"/>
      <c r="M3" s="6"/>
      <c r="N3" s="6"/>
      <c r="O3" s="6"/>
      <c r="P3" s="6"/>
      <c r="Q3" s="6"/>
      <c r="R3" s="6"/>
      <c r="S3" s="6"/>
      <c r="T3" s="6"/>
      <c r="U3" s="6"/>
      <c r="V3" s="6"/>
      <c r="W3" s="6"/>
      <c r="X3" s="6"/>
      <c r="Y3" s="6"/>
    </row>
    <row r="4" spans="1:25" ht="14.4">
      <c r="A4" s="7">
        <v>3003</v>
      </c>
      <c r="B4" s="7" t="s">
        <v>109</v>
      </c>
      <c r="C4" s="7" t="s">
        <v>110</v>
      </c>
      <c r="D4" s="7">
        <v>63374</v>
      </c>
      <c r="E4" s="8">
        <v>42505</v>
      </c>
      <c r="F4" s="6"/>
      <c r="G4" s="6"/>
      <c r="H4" s="6"/>
      <c r="I4" s="6"/>
      <c r="J4" s="6"/>
      <c r="K4" s="6"/>
      <c r="L4" s="6"/>
      <c r="M4" s="6"/>
      <c r="N4" s="6"/>
      <c r="O4" s="6"/>
      <c r="P4" s="6"/>
      <c r="Q4" s="6"/>
      <c r="R4" s="6"/>
      <c r="S4" s="6"/>
      <c r="T4" s="6"/>
      <c r="U4" s="6"/>
      <c r="V4" s="6"/>
      <c r="W4" s="6"/>
      <c r="X4" s="6"/>
      <c r="Y4" s="6"/>
    </row>
    <row r="5" spans="1:25" ht="14.4">
      <c r="A5" s="7">
        <v>3004</v>
      </c>
      <c r="B5" s="7" t="s">
        <v>111</v>
      </c>
      <c r="C5" s="7" t="s">
        <v>107</v>
      </c>
      <c r="D5" s="7">
        <v>109972</v>
      </c>
      <c r="E5" s="8">
        <v>42755</v>
      </c>
      <c r="F5" s="6"/>
      <c r="G5" s="6"/>
      <c r="H5" s="6"/>
      <c r="I5" s="6"/>
      <c r="J5" s="6"/>
      <c r="K5" s="6"/>
      <c r="L5" s="6"/>
      <c r="M5" s="6"/>
      <c r="N5" s="6"/>
      <c r="O5" s="6"/>
      <c r="P5" s="6"/>
      <c r="Q5" s="6"/>
      <c r="R5" s="6"/>
      <c r="S5" s="6"/>
      <c r="T5" s="6"/>
      <c r="U5" s="6"/>
      <c r="V5" s="6"/>
      <c r="W5" s="6"/>
      <c r="X5" s="6"/>
      <c r="Y5" s="6"/>
    </row>
    <row r="6" spans="1:25" ht="14.4">
      <c r="A6" s="7">
        <v>3005</v>
      </c>
      <c r="B6" s="7" t="s">
        <v>112</v>
      </c>
      <c r="C6" s="7" t="s">
        <v>113</v>
      </c>
      <c r="D6" s="7">
        <v>54149</v>
      </c>
      <c r="E6" s="8">
        <v>43005</v>
      </c>
      <c r="F6" s="6"/>
      <c r="G6" s="6"/>
      <c r="H6" s="6"/>
      <c r="I6" s="6"/>
      <c r="J6" s="6"/>
      <c r="K6" s="6"/>
      <c r="L6" s="6"/>
      <c r="M6" s="6"/>
      <c r="N6" s="6"/>
      <c r="O6" s="6"/>
      <c r="P6" s="6"/>
      <c r="Q6" s="6"/>
      <c r="R6" s="6"/>
      <c r="S6" s="6"/>
      <c r="T6" s="6"/>
      <c r="U6" s="6"/>
      <c r="V6" s="6"/>
      <c r="W6" s="6"/>
      <c r="X6" s="6"/>
      <c r="Y6" s="6"/>
    </row>
    <row r="7" spans="1:25" ht="14.4">
      <c r="A7" s="7">
        <v>3006</v>
      </c>
      <c r="B7" s="7" t="s">
        <v>114</v>
      </c>
      <c r="C7" s="7" t="s">
        <v>113</v>
      </c>
      <c r="D7" s="7">
        <v>78689</v>
      </c>
      <c r="E7" s="8">
        <v>43255</v>
      </c>
      <c r="F7" s="6"/>
      <c r="G7" s="6"/>
      <c r="H7" s="6"/>
      <c r="I7" s="6"/>
      <c r="J7" s="6"/>
      <c r="K7" s="6"/>
      <c r="L7" s="6"/>
      <c r="M7" s="6"/>
      <c r="N7" s="6"/>
      <c r="O7" s="6"/>
      <c r="P7" s="6"/>
      <c r="Q7" s="6"/>
      <c r="R7" s="6"/>
      <c r="S7" s="6"/>
      <c r="T7" s="6"/>
      <c r="U7" s="6"/>
      <c r="V7" s="6"/>
      <c r="W7" s="6"/>
      <c r="X7" s="6"/>
      <c r="Y7" s="6"/>
    </row>
    <row r="8" spans="1:25" ht="14.4">
      <c r="A8" s="7">
        <v>3007</v>
      </c>
      <c r="B8" s="7" t="s">
        <v>115</v>
      </c>
      <c r="C8" s="7" t="s">
        <v>116</v>
      </c>
      <c r="D8" s="7">
        <v>35960</v>
      </c>
      <c r="E8" s="8">
        <v>43505</v>
      </c>
      <c r="F8" s="6"/>
      <c r="G8" s="6"/>
      <c r="H8" s="6"/>
      <c r="I8" s="6"/>
      <c r="J8" s="6"/>
      <c r="K8" s="6"/>
      <c r="L8" s="6"/>
      <c r="M8" s="6"/>
      <c r="N8" s="6"/>
      <c r="O8" s="6"/>
      <c r="P8" s="6"/>
      <c r="Q8" s="6"/>
      <c r="R8" s="6"/>
      <c r="S8" s="6"/>
      <c r="T8" s="6"/>
      <c r="U8" s="6"/>
      <c r="V8" s="6"/>
      <c r="W8" s="6"/>
      <c r="X8" s="6"/>
      <c r="Y8" s="6"/>
    </row>
    <row r="9" spans="1:25" ht="14.4">
      <c r="A9" s="7">
        <v>3008</v>
      </c>
      <c r="B9" s="7" t="s">
        <v>117</v>
      </c>
      <c r="C9" s="7" t="s">
        <v>113</v>
      </c>
      <c r="D9" s="7">
        <v>91659</v>
      </c>
      <c r="E9" s="8">
        <v>43755</v>
      </c>
      <c r="F9" s="6"/>
      <c r="G9" s="6"/>
      <c r="H9" s="6"/>
      <c r="I9" s="6"/>
      <c r="J9" s="6"/>
      <c r="K9" s="6"/>
      <c r="L9" s="6"/>
      <c r="M9" s="6"/>
      <c r="N9" s="6"/>
      <c r="O9" s="6"/>
      <c r="P9" s="6"/>
      <c r="Q9" s="6"/>
      <c r="R9" s="6"/>
      <c r="S9" s="6"/>
      <c r="T9" s="6"/>
      <c r="U9" s="6"/>
      <c r="V9" s="6"/>
      <c r="W9" s="6"/>
      <c r="X9" s="6"/>
      <c r="Y9" s="6"/>
    </row>
    <row r="10" spans="1:25" ht="14.4">
      <c r="A10" s="7">
        <v>3009</v>
      </c>
      <c r="B10" s="7" t="s">
        <v>118</v>
      </c>
      <c r="C10" s="7" t="s">
        <v>113</v>
      </c>
      <c r="D10" s="7">
        <v>90423</v>
      </c>
      <c r="E10" s="8">
        <v>44005</v>
      </c>
      <c r="F10" s="6"/>
      <c r="G10" s="6"/>
      <c r="H10" s="6"/>
      <c r="I10" s="6"/>
      <c r="J10" s="6"/>
      <c r="K10" s="6"/>
      <c r="L10" s="6"/>
      <c r="M10" s="6"/>
      <c r="N10" s="6"/>
      <c r="O10" s="6"/>
      <c r="P10" s="6"/>
      <c r="Q10" s="6"/>
      <c r="R10" s="6"/>
      <c r="S10" s="6"/>
      <c r="T10" s="6"/>
      <c r="U10" s="6"/>
      <c r="V10" s="6"/>
      <c r="W10" s="6"/>
      <c r="X10" s="6"/>
      <c r="Y10" s="6"/>
    </row>
    <row r="11" spans="1:25" ht="14.4">
      <c r="A11" s="7">
        <v>3010</v>
      </c>
      <c r="B11" s="7" t="s">
        <v>119</v>
      </c>
      <c r="C11" s="7" t="s">
        <v>110</v>
      </c>
      <c r="D11" s="7">
        <v>107877</v>
      </c>
      <c r="E11" s="8">
        <v>44255</v>
      </c>
      <c r="F11" s="6"/>
      <c r="G11" s="6"/>
      <c r="H11" s="6"/>
      <c r="I11" s="6"/>
      <c r="J11" s="6"/>
      <c r="K11" s="6"/>
      <c r="L11" s="6"/>
      <c r="M11" s="6"/>
      <c r="N11" s="6"/>
      <c r="O11" s="6"/>
      <c r="P11" s="6"/>
      <c r="Q11" s="6"/>
      <c r="R11" s="6"/>
      <c r="S11" s="6"/>
      <c r="T11" s="6"/>
      <c r="U11" s="6"/>
      <c r="V11" s="6"/>
      <c r="W11" s="6"/>
      <c r="X11" s="6"/>
      <c r="Y11" s="6"/>
    </row>
    <row r="12" spans="1:25" ht="14.4">
      <c r="A12" s="7">
        <v>3011</v>
      </c>
      <c r="B12" s="7" t="s">
        <v>120</v>
      </c>
      <c r="C12" s="7" t="s">
        <v>107</v>
      </c>
      <c r="D12" s="7">
        <v>107634</v>
      </c>
      <c r="E12" s="8">
        <v>44505</v>
      </c>
      <c r="F12" s="6"/>
      <c r="G12" s="6"/>
      <c r="H12" s="6"/>
      <c r="I12" s="6"/>
      <c r="J12" s="6"/>
      <c r="K12" s="6"/>
      <c r="L12" s="6"/>
      <c r="M12" s="6"/>
      <c r="N12" s="6"/>
      <c r="O12" s="6"/>
      <c r="P12" s="6"/>
      <c r="Q12" s="6"/>
      <c r="R12" s="6"/>
      <c r="S12" s="6"/>
      <c r="T12" s="6"/>
      <c r="U12" s="6"/>
      <c r="V12" s="6"/>
      <c r="W12" s="6"/>
      <c r="X12" s="6"/>
      <c r="Y12" s="6"/>
    </row>
    <row r="13" spans="1:25" ht="14.4">
      <c r="A13" s="7">
        <v>3012</v>
      </c>
      <c r="B13" s="7" t="s">
        <v>121</v>
      </c>
      <c r="C13" s="7" t="s">
        <v>107</v>
      </c>
      <c r="D13" s="7">
        <v>35226</v>
      </c>
      <c r="E13" s="8">
        <v>44755</v>
      </c>
      <c r="F13" s="6"/>
      <c r="G13" s="6"/>
      <c r="H13" s="6"/>
      <c r="I13" s="6"/>
      <c r="J13" s="6"/>
      <c r="K13" s="6"/>
      <c r="L13" s="6"/>
      <c r="M13" s="6"/>
      <c r="N13" s="6"/>
      <c r="O13" s="6"/>
      <c r="P13" s="6"/>
      <c r="Q13" s="6"/>
      <c r="R13" s="6"/>
      <c r="S13" s="6"/>
      <c r="T13" s="6"/>
      <c r="U13" s="6"/>
      <c r="V13" s="6"/>
      <c r="W13" s="6"/>
      <c r="X13" s="6"/>
      <c r="Y13" s="6"/>
    </row>
    <row r="14" spans="1:25" ht="14.4">
      <c r="A14" s="7">
        <v>3013</v>
      </c>
      <c r="B14" s="7" t="s">
        <v>122</v>
      </c>
      <c r="C14" s="7" t="s">
        <v>110</v>
      </c>
      <c r="D14" s="7">
        <v>40872</v>
      </c>
      <c r="E14" s="8">
        <v>45005</v>
      </c>
      <c r="F14" s="6"/>
      <c r="G14" s="6"/>
      <c r="H14" s="6"/>
      <c r="I14" s="6"/>
      <c r="J14" s="6"/>
      <c r="K14" s="6"/>
      <c r="L14" s="6"/>
      <c r="M14" s="6"/>
      <c r="N14" s="6"/>
      <c r="O14" s="6"/>
      <c r="P14" s="6"/>
      <c r="Q14" s="6"/>
      <c r="R14" s="6"/>
      <c r="S14" s="6"/>
      <c r="T14" s="6"/>
      <c r="U14" s="6"/>
      <c r="V14" s="6"/>
      <c r="W14" s="6"/>
      <c r="X14" s="6"/>
      <c r="Y14" s="6"/>
    </row>
    <row r="15" spans="1:25" ht="14.4">
      <c r="A15" s="7">
        <v>3014</v>
      </c>
      <c r="B15" s="7" t="s">
        <v>123</v>
      </c>
      <c r="C15" s="7" t="s">
        <v>110</v>
      </c>
      <c r="D15" s="7">
        <v>55378</v>
      </c>
      <c r="E15" s="8">
        <v>45255</v>
      </c>
      <c r="F15" s="6"/>
      <c r="G15" s="6"/>
      <c r="H15" s="6"/>
      <c r="I15" s="6"/>
      <c r="J15" s="6"/>
      <c r="K15" s="6"/>
      <c r="L15" s="6"/>
      <c r="M15" s="6"/>
      <c r="N15" s="6"/>
      <c r="O15" s="6"/>
      <c r="P15" s="6"/>
      <c r="Q15" s="6"/>
      <c r="R15" s="6"/>
      <c r="S15" s="6"/>
      <c r="T15" s="6"/>
      <c r="U15" s="6"/>
      <c r="V15" s="6"/>
      <c r="W15" s="6"/>
      <c r="X15" s="6"/>
      <c r="Y15" s="6"/>
    </row>
    <row r="16" spans="1:25" ht="14.4">
      <c r="A16" s="7">
        <v>3015</v>
      </c>
      <c r="B16" s="7" t="s">
        <v>124</v>
      </c>
      <c r="C16" s="7" t="s">
        <v>110</v>
      </c>
      <c r="D16" s="7">
        <v>63297</v>
      </c>
      <c r="E16" s="8">
        <v>45505</v>
      </c>
      <c r="F16" s="6"/>
      <c r="G16" s="6"/>
      <c r="H16" s="6"/>
      <c r="I16" s="6"/>
      <c r="J16" s="6"/>
      <c r="K16" s="6"/>
      <c r="L16" s="6"/>
      <c r="M16" s="6"/>
      <c r="N16" s="6"/>
      <c r="O16" s="6"/>
      <c r="P16" s="6"/>
      <c r="Q16" s="6"/>
      <c r="R16" s="6"/>
      <c r="S16" s="6"/>
      <c r="T16" s="6"/>
      <c r="U16" s="6"/>
      <c r="V16" s="6"/>
      <c r="W16" s="6"/>
      <c r="X16" s="6"/>
      <c r="Y16" s="6"/>
    </row>
    <row r="17" spans="1:25" ht="14.4">
      <c r="A17" s="7">
        <v>3016</v>
      </c>
      <c r="B17" s="7" t="s">
        <v>125</v>
      </c>
      <c r="C17" s="7" t="s">
        <v>107</v>
      </c>
      <c r="D17" s="7">
        <v>114173</v>
      </c>
      <c r="E17" s="8">
        <v>45755</v>
      </c>
      <c r="F17" s="6"/>
      <c r="G17" s="6"/>
      <c r="H17" s="6"/>
      <c r="I17" s="6"/>
      <c r="J17" s="6"/>
      <c r="K17" s="6"/>
      <c r="L17" s="6"/>
      <c r="M17" s="6"/>
      <c r="N17" s="6"/>
      <c r="O17" s="6"/>
      <c r="P17" s="6"/>
      <c r="Q17" s="6"/>
      <c r="R17" s="6"/>
      <c r="S17" s="6"/>
      <c r="T17" s="6"/>
      <c r="U17" s="6"/>
      <c r="V17" s="6"/>
      <c r="W17" s="6"/>
      <c r="X17" s="6"/>
      <c r="Y17" s="6"/>
    </row>
    <row r="18" spans="1:25" ht="14.4">
      <c r="A18" s="7">
        <v>3017</v>
      </c>
      <c r="B18" s="7" t="s">
        <v>126</v>
      </c>
      <c r="C18" s="7" t="s">
        <v>110</v>
      </c>
      <c r="D18" s="7">
        <v>86915</v>
      </c>
      <c r="E18" s="8">
        <v>46005</v>
      </c>
      <c r="F18" s="6"/>
      <c r="G18" s="6"/>
      <c r="H18" s="6"/>
      <c r="I18" s="6"/>
      <c r="J18" s="6"/>
      <c r="K18" s="6"/>
      <c r="L18" s="6"/>
      <c r="M18" s="6"/>
      <c r="N18" s="6"/>
      <c r="O18" s="6"/>
      <c r="P18" s="6"/>
      <c r="Q18" s="6"/>
      <c r="R18" s="6"/>
      <c r="S18" s="6"/>
      <c r="T18" s="6"/>
      <c r="U18" s="6"/>
      <c r="V18" s="6"/>
      <c r="W18" s="6"/>
      <c r="X18" s="6"/>
      <c r="Y18" s="6"/>
    </row>
    <row r="19" spans="1:25" ht="14.4">
      <c r="A19" s="7">
        <v>3018</v>
      </c>
      <c r="B19" s="7" t="s">
        <v>127</v>
      </c>
      <c r="C19" s="7" t="s">
        <v>113</v>
      </c>
      <c r="D19" s="7">
        <v>116284</v>
      </c>
      <c r="E19" s="8">
        <v>46255</v>
      </c>
      <c r="F19" s="6"/>
      <c r="G19" s="6"/>
      <c r="H19" s="6"/>
      <c r="I19" s="6"/>
      <c r="J19" s="6"/>
      <c r="K19" s="6"/>
      <c r="L19" s="6"/>
      <c r="M19" s="6"/>
      <c r="N19" s="6"/>
      <c r="O19" s="6"/>
      <c r="P19" s="6"/>
      <c r="Q19" s="6"/>
      <c r="R19" s="6"/>
      <c r="S19" s="6"/>
      <c r="T19" s="6"/>
      <c r="U19" s="6"/>
      <c r="V19" s="6"/>
      <c r="W19" s="6"/>
      <c r="X19" s="6"/>
      <c r="Y19" s="6"/>
    </row>
    <row r="20" spans="1:25" ht="14.4">
      <c r="A20" s="7">
        <v>3019</v>
      </c>
      <c r="B20" s="7" t="s">
        <v>128</v>
      </c>
      <c r="C20" s="7" t="s">
        <v>116</v>
      </c>
      <c r="D20" s="7">
        <v>116283</v>
      </c>
      <c r="E20" s="8">
        <v>46505</v>
      </c>
      <c r="F20" s="6"/>
      <c r="G20" s="6"/>
      <c r="H20" s="6"/>
      <c r="I20" s="6"/>
      <c r="J20" s="6"/>
      <c r="K20" s="6"/>
      <c r="L20" s="6"/>
      <c r="M20" s="6"/>
      <c r="N20" s="6"/>
      <c r="O20" s="6"/>
      <c r="P20" s="6"/>
      <c r="Q20" s="6"/>
      <c r="R20" s="6"/>
      <c r="S20" s="6"/>
      <c r="T20" s="6"/>
      <c r="U20" s="6"/>
      <c r="V20" s="6"/>
      <c r="W20" s="6"/>
      <c r="X20" s="6"/>
      <c r="Y20" s="6"/>
    </row>
    <row r="21" spans="1:25" ht="15.75" customHeight="1">
      <c r="A21" s="7">
        <v>3020</v>
      </c>
      <c r="B21" s="7" t="s">
        <v>129</v>
      </c>
      <c r="C21" s="7" t="s">
        <v>116</v>
      </c>
      <c r="D21" s="7">
        <v>99924</v>
      </c>
      <c r="E21" s="8">
        <v>46755</v>
      </c>
      <c r="F21" s="6"/>
      <c r="G21" s="6"/>
      <c r="H21" s="6"/>
      <c r="I21" s="6"/>
      <c r="J21" s="6"/>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Krina Suthar</cp:lastModifiedBy>
  <dcterms:modified xsi:type="dcterms:W3CDTF">2025-12-12T12:37:30Z</dcterms:modified>
</cp:coreProperties>
</file>